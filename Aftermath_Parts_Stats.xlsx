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4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81c8a70f2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e0462523b3c4463"/>
    <x:sheet xmlns:r="http://schemas.openxmlformats.org/officeDocument/2006/relationships" name="Base Game" sheetId="2" r:id="R549545991f444bf4"/>
    <x:sheet xmlns:r="http://schemas.openxmlformats.org/officeDocument/2006/relationships" name="Aftermath Unique" sheetId="3" r:id="R223bba14b77d40df"/>
    <x:sheet xmlns:r="http://schemas.openxmlformats.org/officeDocument/2006/relationships" name="Modified Parts" sheetId="4" r:id="R871f8471932c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%"/>
  </x:numFmts>
  <x:fonts count="1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475569"/>
      <x:name val="Carlito"/>
    </x:font>
    <x:font>
      <x:b/>
      <x:sz val="13"/>
      <x:color rgb="FFFFFFFF"/>
      <x:name val="Carlito"/>
    </x:font>
    <x:font>
      <x:b/>
      <x:sz val="11"/>
      <x:color rgb="FF172554"/>
      <x:name val="Carlito"/>
    </x:font>
    <x:font>
      <x:b/>
      <x:sz val="10"/>
      <x:color rgb="FFFFFFFF"/>
      <x:name val="Aptos"/>
    </x:font>
    <x:font>
      <x:i/>
      <x:sz val="10"/>
      <x:color rgb="FF475569"/>
      <x:name val="Aptos"/>
    </x:font>
    <x:font>
      <x:sz val="10"/>
      <x:name val="Aptos"/>
    </x:font>
    <x:font>
      <x:b/>
      <x:sz val="10"/>
      <x:color rgb="FF172554"/>
      <x:name val="Aptos"/>
    </x:font>
    <x:font>
      <x:b/>
      <x:sz val="11"/>
      <x:color rgb="FF78350F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sz val="11"/>
      <x:color rgb="FF78350F"/>
      <x:name val="Carlito"/>
    </x:font>
    <x:font>
      <x:sz val="10"/>
      <x:color rgb="FF475569"/>
      <x:name val="Aptos"/>
    </x:font>
    <x:font>
      <x:sz val="10"/>
      <x:color rgb="FF78350F"/>
      <x:name val="Aptos"/>
    </x:font>
    <x:font>
      <x:b/>
      <x:sz val="10"/>
      <x:color rgb="FF78350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FEF3C7"/>
      </x:patternFill>
    </x:fill>
    <x:fill>
      <x:patternFill patternType="solid">
        <x:fgColor rgb="FF172554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5">
    <x:border/>
    <x:border>
      <x:bottom style="medium">
        <x:color rgb="FF334155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medium">
        <x:color rgb="FF0F766E"/>
      </x:bottom>
    </x:border>
    <x:border>
      <x:bottom style="medium">
        <x:color rgb="FFB45309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top style="medium">
        <x:color rgb="FF172554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1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200" fontId="7" fillId="0" borderId="2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200" fontId="7" fillId="0" borderId="3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6" xfId="0" applyNumberFormat="1" applyFont="1" applyFill="1" applyBorder="1"/>
    <x:xf numFmtId="0" fontId="9" fillId="6" borderId="6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9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10" fillId="4" borderId="0" xfId="0" applyNumberFormat="1" applyFont="1" applyFill="1" applyBorder="1"/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11" xfId="0" applyNumberFormat="1" applyFont="1" applyFill="1" applyBorder="1"/>
    <x:xf numFmtId="0" fontId="11" fillId="8" borderId="9" xfId="0" applyNumberFormat="1" applyFont="1" applyFill="1" applyBorder="1"/>
    <x:xf numFmtId="0" fontId="11" fillId="8" borderId="12" xfId="0" applyNumberFormat="1" applyFont="1" applyFill="1" applyBorder="1"/>
    <x:xf numFmtId="0" fontId="11" fillId="8" borderId="13" xfId="0" applyNumberFormat="1" applyFont="1" applyFill="1" applyBorder="1"/>
    <x:xf numFmtId="0" fontId="11" fillId="8" borderId="14" xfId="0" applyNumberFormat="1" applyFont="1" applyFill="1" applyBorder="1"/>
    <x:xf numFmtId="0" fontId="11" fillId="8" borderId="15" xfId="0" applyNumberFormat="1" applyFont="1" applyFill="1" applyBorder="1"/>
    <x:xf numFmtId="0" fontId="11" fillId="8" borderId="7" xfId="0" applyNumberFormat="1" applyFont="1" applyFill="1" applyBorder="1"/>
    <x:xf numFmtId="0" fontId="11" fillId="8" borderId="16" xfId="0" applyNumberFormat="1" applyFont="1" applyFill="1" applyBorder="1"/>
    <x:xf numFmtId="0" fontId="11" fillId="8" borderId="11" xfId="0" applyNumberFormat="1" applyFont="1" applyFill="1" applyBorder="1" applyAlignment="1">
      <x:alignment wrapText="1"/>
    </x:xf>
    <x:xf numFmtId="0" fontId="11" fillId="8" borderId="9" xfId="0" applyNumberFormat="1" applyFont="1" applyFill="1" applyBorder="1" applyAlignment="1">
      <x:alignment wrapText="1"/>
    </x:xf>
    <x:xf numFmtId="0" fontId="11" fillId="8" borderId="12" xfId="0" applyNumberFormat="1" applyFont="1" applyFill="1" applyBorder="1" applyAlignment="1">
      <x:alignment wrapText="1"/>
    </x:xf>
    <x:xf numFmtId="0" fontId="11" fillId="8" borderId="13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14" xfId="0" applyNumberFormat="1" applyFont="1" applyFill="1" applyBorder="1" applyAlignment="1">
      <x:alignment wrapText="1"/>
    </x:xf>
    <x:xf numFmtId="0" fontId="11" fillId="8" borderId="15" xfId="0" applyNumberFormat="1" applyFont="1" applyFill="1" applyBorder="1" applyAlignment="1">
      <x:alignment wrapText="1"/>
    </x:xf>
    <x:xf numFmtId="0" fontId="11" fillId="8" borderId="7" xfId="0" applyNumberFormat="1" applyFont="1" applyFill="1" applyBorder="1" applyAlignment="1">
      <x:alignment wrapText="1"/>
    </x:xf>
    <x:xf numFmtId="0" fontId="11" fillId="8" borderId="16" xfId="0" applyNumberFormat="1" applyFont="1" applyFill="1" applyBorder="1" applyAlignment="1">
      <x:alignment wrapText="1"/>
    </x:xf>
    <x:xf numFmtId="0" fontId="11" fillId="8" borderId="11" xfId="0" applyNumberFormat="1" applyFont="1" applyFill="1" applyBorder="1" applyAlignment="1">
      <x:alignment vertical="top" wrapText="1"/>
    </x:xf>
    <x:xf numFmtId="0" fontId="11" fillId="8" borderId="9" xfId="0" applyNumberFormat="1" applyFont="1" applyFill="1" applyBorder="1" applyAlignment="1">
      <x:alignment vertical="top" wrapText="1"/>
    </x:xf>
    <x:xf numFmtId="0" fontId="11" fillId="8" borderId="12" xfId="0" applyNumberFormat="1" applyFont="1" applyFill="1" applyBorder="1" applyAlignment="1">
      <x:alignment vertical="top" wrapText="1"/>
    </x:xf>
    <x:xf numFmtId="0" fontId="11" fillId="8" borderId="13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  <x:xf numFmtId="0" fontId="11" fillId="8" borderId="14" xfId="0" applyNumberFormat="1" applyFont="1" applyFill="1" applyBorder="1" applyAlignment="1">
      <x:alignment vertical="top" wrapText="1"/>
    </x:xf>
    <x:xf numFmtId="0" fontId="11" fillId="8" borderId="15" xfId="0" applyNumberFormat="1" applyFont="1" applyFill="1" applyBorder="1" applyAlignment="1">
      <x:alignment vertical="top" wrapText="1"/>
    </x:xf>
    <x:xf numFmtId="0" fontId="11" fillId="8" borderId="7" xfId="0" applyNumberFormat="1" applyFont="1" applyFill="1" applyBorder="1" applyAlignment="1">
      <x:alignment vertical="top" wrapText="1"/>
    </x:xf>
    <x:xf numFmtId="0" fontId="11" fillId="8" borderId="16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/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17" xfId="0" applyNumberFormat="1" applyFont="1" applyFill="1" applyBorder="1"/>
    <x:xf numFmtId="0" fontId="12" fillId="9" borderId="18" xfId="0" applyNumberFormat="1" applyFont="1" applyFill="1" applyBorder="1"/>
    <x:xf numFmtId="0" fontId="12" fillId="9" borderId="19" xfId="0" applyNumberFormat="1" applyFont="1" applyFill="1" applyBorder="1"/>
    <x:xf numFmtId="0" fontId="12" fillId="9" borderId="20" xfId="0" applyNumberFormat="1" applyFont="1" applyFill="1" applyBorder="1"/>
    <x:xf numFmtId="0" fontId="12" fillId="9" borderId="21" xfId="0" applyNumberFormat="1" applyFont="1" applyFill="1" applyBorder="1"/>
    <x:xf numFmtId="0" fontId="12" fillId="9" borderId="22" xfId="0" applyNumberFormat="1" applyFont="1" applyFill="1" applyBorder="1"/>
    <x:xf numFmtId="0" fontId="12" fillId="9" borderId="23" xfId="0" applyNumberFormat="1" applyFont="1" applyFill="1" applyBorder="1"/>
    <x:xf numFmtId="0" fontId="12" fillId="9" borderId="24" xfId="0" applyNumberFormat="1" applyFont="1" applyFill="1" applyBorder="1"/>
    <x:xf numFmtId="0" fontId="12" fillId="9" borderId="17" xfId="0" applyNumberFormat="1" applyFont="1" applyFill="1" applyBorder="1" applyAlignment="1">
      <x:alignment wrapText="1"/>
    </x:xf>
    <x:xf numFmtId="0" fontId="12" fillId="9" borderId="18" xfId="0" applyNumberFormat="1" applyFont="1" applyFill="1" applyBorder="1" applyAlignment="1">
      <x:alignment wrapText="1"/>
    </x:xf>
    <x:xf numFmtId="0" fontId="12" fillId="9" borderId="19" xfId="0" applyNumberFormat="1" applyFont="1" applyFill="1" applyBorder="1" applyAlignment="1">
      <x:alignment wrapText="1"/>
    </x:xf>
    <x:xf numFmtId="0" fontId="12" fillId="9" borderId="2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wrapText="1"/>
    </x:xf>
    <x:xf numFmtId="0" fontId="12" fillId="9" borderId="21" xfId="0" applyNumberFormat="1" applyFont="1" applyFill="1" applyBorder="1" applyAlignment="1">
      <x:alignment wrapText="1"/>
    </x:xf>
    <x:xf numFmtId="0" fontId="12" fillId="9" borderId="22" xfId="0" applyNumberFormat="1" applyFont="1" applyFill="1" applyBorder="1" applyAlignment="1">
      <x:alignment wrapText="1"/>
    </x:xf>
    <x:xf numFmtId="0" fontId="12" fillId="9" borderId="23" xfId="0" applyNumberFormat="1" applyFont="1" applyFill="1" applyBorder="1" applyAlignment="1">
      <x:alignment wrapText="1"/>
    </x:xf>
    <x:xf numFmtId="0" fontId="12" fillId="9" borderId="24" xfId="0" applyNumberFormat="1" applyFont="1" applyFill="1" applyBorder="1" applyAlignment="1">
      <x:alignment wrapText="1"/>
    </x:xf>
    <x:xf numFmtId="0" fontId="12" fillId="9" borderId="17" xfId="0" applyNumberFormat="1" applyFont="1" applyFill="1" applyBorder="1" applyAlignment="1">
      <x:alignment vertical="top" wrapText="1"/>
    </x:xf>
    <x:xf numFmtId="0" fontId="12" fillId="9" borderId="18" xfId="0" applyNumberFormat="1" applyFont="1" applyFill="1" applyBorder="1" applyAlignment="1">
      <x:alignment vertical="top" wrapText="1"/>
    </x:xf>
    <x:xf numFmtId="0" fontId="12" fillId="9" borderId="19" xfId="0" applyNumberFormat="1" applyFont="1" applyFill="1" applyBorder="1" applyAlignment="1">
      <x:alignment vertical="top" wrapText="1"/>
    </x:xf>
    <x:xf numFmtId="0" fontId="12" fillId="9" borderId="20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 applyAlignment="1">
      <x:alignment vertical="top" wrapText="1"/>
    </x:xf>
    <x:xf numFmtId="0" fontId="12" fillId="9" borderId="21" xfId="0" applyNumberFormat="1" applyFont="1" applyFill="1" applyBorder="1" applyAlignment="1">
      <x:alignment vertical="top" wrapText="1"/>
    </x:xf>
    <x:xf numFmtId="0" fontId="12" fillId="9" borderId="22" xfId="0" applyNumberFormat="1" applyFont="1" applyFill="1" applyBorder="1" applyAlignment="1">
      <x:alignment vertical="top" wrapText="1"/>
    </x:xf>
    <x:xf numFmtId="0" fontId="12" fillId="9" borderId="23" xfId="0" applyNumberFormat="1" applyFont="1" applyFill="1" applyBorder="1" applyAlignment="1">
      <x:alignment vertical="top" wrapText="1"/>
    </x:xf>
    <x:xf numFmtId="0" fontId="12" fillId="9" borderId="2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/>
    <x:xf numFmtId="0" fontId="5" fillId="4" borderId="0" xfId="0" applyNumberFormat="1" applyFont="1" applyFill="1" applyBorder="1"/>
    <x:xf numFmtId="0" fontId="7" fillId="0" borderId="7" xfId="0" applyNumberFormat="1" applyFont="1" applyFill="1" applyBorder="1"/>
    <x:xf numFmtId="0" fontId="13" fillId="8" borderId="11" xfId="0" applyNumberFormat="1" applyFont="1" applyFill="1" applyBorder="1" applyAlignment="1">
      <x:alignment vertical="top" wrapText="1"/>
    </x:xf>
    <x:xf numFmtId="0" fontId="13" fillId="8" borderId="9" xfId="0" applyNumberFormat="1" applyFont="1" applyFill="1" applyBorder="1" applyAlignment="1">
      <x:alignment vertical="top" wrapText="1"/>
    </x:xf>
    <x:xf numFmtId="0" fontId="13" fillId="8" borderId="12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/>
    <x:xf numFmtId="0" fontId="13" fillId="8" borderId="13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 applyAlignment="1">
      <x:alignment vertical="top" wrapText="1"/>
    </x:xf>
    <x:xf numFmtId="0" fontId="13" fillId="8" borderId="14" xfId="0" applyNumberFormat="1" applyFont="1" applyFill="1" applyBorder="1" applyAlignment="1">
      <x:alignment vertical="top" wrapText="1"/>
    </x:xf>
    <x:xf numFmtId="0" fontId="13" fillId="8" borderId="15" xfId="0" applyNumberFormat="1" applyFont="1" applyFill="1" applyBorder="1" applyAlignment="1">
      <x:alignment vertical="top" wrapText="1"/>
    </x:xf>
    <x:xf numFmtId="0" fontId="13" fillId="8" borderId="7" xfId="0" applyNumberFormat="1" applyFont="1" applyFill="1" applyBorder="1" applyAlignment="1">
      <x:alignment vertical="top" wrapText="1"/>
    </x:xf>
    <x:xf numFmtId="0" fontId="13" fillId="8" borderId="16" xfId="0" applyNumberFormat="1" applyFont="1" applyFill="1" applyBorder="1" applyAlignment="1">
      <x:alignment vertical="top" wrapText="1"/>
    </x:xf>
    <x:xf numFmtId="0" fontId="8" fillId="3" borderId="10" xfId="0" applyNumberFormat="1" applyFont="1" applyFill="1" applyBorder="1"/>
    <x:xf numFmtId="0" fontId="5" fillId="5" borderId="0" xfId="0" applyNumberFormat="1" applyFont="1" applyFill="1" applyBorder="1"/>
    <x:xf numFmtId="0" fontId="14" fillId="9" borderId="17" xfId="0" applyNumberFormat="1" applyFont="1" applyFill="1" applyBorder="1" applyAlignment="1">
      <x:alignment vertical="top" wrapText="1"/>
    </x:xf>
    <x:xf numFmtId="0" fontId="14" fillId="9" borderId="18" xfId="0" applyNumberFormat="1" applyFont="1" applyFill="1" applyBorder="1" applyAlignment="1">
      <x:alignment vertical="top" wrapText="1"/>
    </x:xf>
    <x:xf numFmtId="0" fontId="14" fillId="9" borderId="19" xfId="0" applyNumberFormat="1" applyFont="1" applyFill="1" applyBorder="1" applyAlignment="1">
      <x:alignment vertical="top" wrapText="1"/>
    </x:xf>
    <x:xf numFmtId="0" fontId="14" fillId="9" borderId="20" xfId="0" applyNumberFormat="1" applyFont="1" applyFill="1" applyBorder="1" applyAlignment="1">
      <x:alignment vertical="top" wrapText="1"/>
    </x:xf>
    <x:xf numFmtId="0" fontId="14" fillId="9" borderId="0" xfId="0" applyNumberFormat="1" applyFont="1" applyFill="1" applyBorder="1" applyAlignment="1">
      <x:alignment vertical="top" wrapText="1"/>
    </x:xf>
    <x:xf numFmtId="0" fontId="14" fillId="9" borderId="21" xfId="0" applyNumberFormat="1" applyFont="1" applyFill="1" applyBorder="1" applyAlignment="1">
      <x:alignment vertical="top" wrapText="1"/>
    </x:xf>
    <x:xf numFmtId="0" fontId="14" fillId="9" borderId="22" xfId="0" applyNumberFormat="1" applyFont="1" applyFill="1" applyBorder="1" applyAlignment="1">
      <x:alignment vertical="top" wrapText="1"/>
    </x:xf>
    <x:xf numFmtId="0" fontId="14" fillId="9" borderId="23" xfId="0" applyNumberFormat="1" applyFont="1" applyFill="1" applyBorder="1" applyAlignment="1">
      <x:alignment vertical="top" wrapText="1"/>
    </x:xf>
    <x:xf numFmtId="0" fontId="14" fillId="9" borderId="2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/>
    </x:xf>
    <x:xf numFmtId="0" fontId="15" fillId="6" borderId="6" xfId="0" applyNumberFormat="1" applyFont="1" applyFill="1" applyBorder="1" applyAlignment="1">
      <x:alignment wrapText="1"/>
    </x:xf>
    <x:xf numFmtId="201" fontId="7" fillId="0" borderId="2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201" fontId="7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16"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0739c73dd4ede" /><Relationship Type="http://schemas.openxmlformats.org/officeDocument/2006/relationships/theme" Target="/xl/theme/theme1.xml" Id="Rfa175f4aca9e41d9" /><Relationship Type="http://schemas.openxmlformats.org/officeDocument/2006/relationships/sharedStrings" Target="/xl/sharedStrings.xml" Id="R12716b23993e4d67" /><Relationship Type="http://schemas.openxmlformats.org/officeDocument/2006/relationships/worksheet" Target="/xl/worksheets/sheet1.xml" Id="R6e0462523b3c4463" /><Relationship Type="http://schemas.openxmlformats.org/officeDocument/2006/relationships/worksheet" Target="/xl/worksheets/sheet2.xml" Id="R549545991f444bf4" /><Relationship Type="http://schemas.openxmlformats.org/officeDocument/2006/relationships/worksheet" Target="/xl/worksheets/sheet3.xml" Id="R223bba14b77d40df" /><Relationship Type="http://schemas.openxmlformats.org/officeDocument/2006/relationships/worksheet" Target="/xl/worksheets/sheet4.xml" Id="R871f8471932c40c8" /></Relationships>
</file>

<file path=xl/tables/table1.xml><?xml version="1.0" encoding="utf-8"?>
<x:table xmlns:x="http://schemas.openxmlformats.org/spreadsheetml/2006/main" id="1" name="base_FCS" displayName="base_FCS" ref="A5:L15" headerRowCount="1" totalsRowCount="0" totalsRowShown="0">
  <x:tableColumns count="12">
    <x:tableColumn id="1" name="ID"/>
    <x:tableColumn id="2" name="Part Name"/>
    <x:tableColumn id="3" name="Data Status"/>
    <x:tableColumn id="4" name="Weight"/>
    <x:tableColumn id="5" name="EN Load"/>
    <x:tableColumn id="6" name="Missile Lock Performance"/>
    <x:tableColumn id="7" name="Missile Lock Time Rate"/>
    <x:tableColumn id="8" name="Multi-Lock Time Rate"/>
    <x:tableColumn id="9" name="Prediction Bullet Speed"/>
    <x:tableColumn id="10" name="Prediction Max Offset"/>
    <x:tableColumn id="11" name="Prediction Start Distance"/>
    <x:tableColumn id="12" name="Model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_Booster" displayName="base_Booster" ref="A19:Q31" headerRowCount="1" totalsRowCount="0" totalsRowShown="0">
  <x:tableColumns count="17">
    <x:tableColumn id="1" name="ID"/>
    <x:tableColumn id="2" name="Part Name"/>
    <x:tableColumn id="3" name="Data Status"/>
    <x:tableColumn id="4" name="Weight"/>
    <x:tableColumn id="5" name="EN Load"/>
    <x:tableColumn id="6" name="Boost Max Speed"/>
    <x:tableColumn id="7" name="Upward Max Speed"/>
    <x:tableColumn id="8" name="Upward EN Cost"/>
    <x:tableColumn id="9" name="QB End Speed"/>
    <x:tableColumn id="10" name="QB Duration (F30)"/>
    <x:tableColumn id="11" name="QB EN Cost"/>
    <x:tableColumn id="12" name="QB Reload"/>
    <x:tableColumn id="13" name="Assault Boost End Speed"/>
    <x:tableColumn id="14" name="Assault Boost EN/sec"/>
    <x:tableColumn id="15" name="Melee Thrust End Speed"/>
    <x:tableColumn id="16" name="Melee Thrust EN/sec"/>
    <x:tableColumn id="17" name="Model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se_Generator" displayName="base_Generator" ref="A35:M49" headerRowCount="1" totalsRowCount="0" totalsRowShown="0">
  <x:tableColumns count="13">
    <x:tableColumn id="1" name="ID"/>
    <x:tableColumn id="2" name="Part Name"/>
    <x:tableColumn id="3" name="Data Status"/>
    <x:tableColumn id="4" name="Weight"/>
    <x:tableColumn id="5" name="EN Load"/>
    <x:tableColumn id="6" name="EN Capacity"/>
    <x:tableColumn id="7" name="EN Recharge"/>
    <x:tableColumn id="8" name="Recharge Delay"/>
    <x:tableColumn id="9" name="Empty Recovery Delay"/>
    <x:tableColumn id="10" name="Post-Recovery EN"/>
    <x:tableColumn id="11" name="EN Firearm Spec."/>
    <x:tableColumn id="12" name="Thruster Color Type"/>
    <x:tableColumn id="13" name="Model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_Weapon" displayName="base_Weapon" ref="A53:V251" headerRowCount="1" totalsRowCount="0" totalsRowShown="0">
  <x:tableColumns count="22">
    <x:tableColumn id="1" name="ID"/>
    <x:tableColumn id="2" name="Part Name"/>
    <x:tableColumn id="3" name="Data Status"/>
    <x:tableColumn id="4" name="Internal Label"/>
    <x:tableColumn id="5" name="Menu Category"/>
    <x:tableColumn id="6" name="Weight"/>
    <x:tableColumn id="7" name="EN Load"/>
    <x:tableColumn id="8" name="Attack Power"/>
    <x:tableColumn id="9" name="Attack Count"/>
    <x:tableColumn id="10" name="Impact"/>
    <x:tableColumn id="11" name="Accum. Impact"/>
    <x:tableColumn id="12" name="Direct Hit"/>
    <x:tableColumn id="13" name="PA Interference"/>
    <x:tableColumn id="14" name="Range"/>
    <x:tableColumn id="15" name="Total Ammo"/>
    <x:tableColumn id="16" name="Magazine Reload"/>
    <x:tableColumn id="17" name="Charge Time"/>
    <x:tableColumn id="18" name="Charged Attack"/>
    <x:tableColumn id="19" name="Charged Impact"/>
    <x:tableColumn id="20" name="Charged Accum. Impact"/>
    <x:tableColumn id="21" name="Heat per Shot"/>
    <x:tableColumn id="22" name="Model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se_Armor_Head" displayName="base_Armor_Head" ref="A255:O278" headerRowCount="1" totalsRowCount="0" totalsRowShown="0">
  <x:tableColumns count="15">
    <x:tableColumn id="1" name="ID"/>
    <x:tableColumn id="2" name="Part Name"/>
    <x:tableColumn id="3" name="Data Status"/>
    <x:tableColumn id="4" name="Internal Label"/>
    <x:tableColumn id="5" name="AP"/>
    <x:tableColumn id="6" name="Weight"/>
    <x:tableColumn id="7" name="EN Load"/>
    <x:tableColumn id="8" name="Kinetic Defense"/>
    <x:tableColumn id="9" name="Energy Defense"/>
    <x:tableColumn id="10" name="Explosive Defense"/>
    <x:tableColumn id="11" name="Attitude Stability"/>
    <x:tableColumn id="12" name="System Recovery"/>
    <x:tableColumn id="13" name="Scan Distance"/>
    <x:tableColumn id="14" name="Scan Duration"/>
    <x:tableColumn id="15" name="Model 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se_Armor_Core" displayName="base_Armor_Core" ref="A282:O299" headerRowCount="1" totalsRowCount="0" totalsRowShown="0">
  <x:tableColumns count="15">
    <x:tableColumn id="1" name="ID"/>
    <x:tableColumn id="2" name="Part Name"/>
    <x:tableColumn id="3" name="Data Status"/>
    <x:tableColumn id="4" name="Internal Label"/>
    <x:tableColumn id="5" name="AP"/>
    <x:tableColumn id="6" name="Weight"/>
    <x:tableColumn id="7" name="EN Load"/>
    <x:tableColumn id="8" name="Kinetic Defense"/>
    <x:tableColumn id="9" name="Energy Defense"/>
    <x:tableColumn id="10" name="Explosive Defense"/>
    <x:tableColumn id="11" name="Attitude Stability"/>
    <x:tableColumn id="12" name="Generator Output Adj."/>
    <x:tableColumn id="13" name="Generator Supply Adj."/>
    <x:tableColumn id="14" name="Booster Efficiency Adj."/>
    <x:tableColumn id="15" name="Model 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se_Armor_Arms" displayName="base_Armor_Arms" ref="A303:O322" headerRowCount="1" totalsRowCount="0" totalsRowShown="0">
  <x:tableColumns count="15">
    <x:tableColumn id="1" name="ID"/>
    <x:tableColumn id="2" name="Part Name"/>
    <x:tableColumn id="3" name="Data Status"/>
    <x:tableColumn id="4" name="Internal Label"/>
    <x:tableColumn id="5" name="AP"/>
    <x:tableColumn id="6" name="Weight"/>
    <x:tableColumn id="7" name="EN Load"/>
    <x:tableColumn id="8" name="Kinetic Defense"/>
    <x:tableColumn id="9" name="Energy Defense"/>
    <x:tableColumn id="10" name="Explosive Defense"/>
    <x:tableColumn id="11" name="Recoil Control"/>
    <x:tableColumn id="12" name="Arms Load Limit"/>
    <x:tableColumn id="13" name="Firearm Specialization"/>
    <x:tableColumn id="14" name="Melee Specialization"/>
    <x:tableColumn id="15" name="Model I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ase_Armor_Legs" displayName="base_Armor_Legs" ref="A326:O351" headerRowCount="1" totalsRowCount="0" totalsRowShown="0">
  <x:tableColumns count="15">
    <x:tableColumn id="1" name="ID"/>
    <x:tableColumn id="2" name="Part Name"/>
    <x:tableColumn id="3" name="Data Status"/>
    <x:tableColumn id="4" name="Internal Label"/>
    <x:tableColumn id="5" name="AP"/>
    <x:tableColumn id="6" name="Weight"/>
    <x:tableColumn id="7" name="EN Load"/>
    <x:tableColumn id="8" name="Kinetic Defense"/>
    <x:tableColumn id="9" name="Energy Defense"/>
    <x:tableColumn id="10" name="Explosive Defense"/>
    <x:tableColumn id="11" name="Attitude Stability"/>
    <x:tableColumn id="12" name="Load Limit"/>
    <x:tableColumn id="13" name="Jump Height"/>
    <x:tableColumn id="14" name="Jump Distance Speed"/>
    <x:tableColumn id="15" name="Model I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unique_FCS" displayName="unique_FCS" ref="A5:L11" headerRowCount="1" totalsRowCount="0" totalsRowShown="0">
  <x:tableColumns count="12">
    <x:tableColumn id="1" name="ID"/>
    <x:tableColumn id="2" name="Part Name"/>
    <x:tableColumn id="3" name="Data Status"/>
    <x:tableColumn id="4" name="Weight"/>
    <x:tableColumn id="5" name="EN Load"/>
    <x:tableColumn id="6" name="Missile Lock Performance"/>
    <x:tableColumn id="7" name="Missile Lock Time Rate"/>
    <x:tableColumn id="8" name="Multi-Lock Time Rate"/>
    <x:tableColumn id="9" name="Prediction Bullet Speed"/>
    <x:tableColumn id="10" name="Prediction Max Offset"/>
    <x:tableColumn id="11" name="Prediction Start Distance"/>
    <x:tableColumn id="12" name="Model I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unique_Booster" displayName="unique_Booster" ref="A15:Q24" headerRowCount="1" totalsRowCount="0" totalsRowShown="0">
  <x:tableColumns count="17">
    <x:tableColumn id="1" name="ID"/>
    <x:tableColumn id="2" name="Part Name"/>
    <x:tableColumn id="3" name="Data Status"/>
    <x:tableColumn id="4" name="Weight"/>
    <x:tableColumn id="5" name="EN Load"/>
    <x:tableColumn id="6" name="Boost Max Speed"/>
    <x:tableColumn id="7" name="Upward Max Speed"/>
    <x:tableColumn id="8" name="Upward EN Cost"/>
    <x:tableColumn id="9" name="QB End Speed"/>
    <x:tableColumn id="10" name="QB Duration (F30)"/>
    <x:tableColumn id="11" name="QB EN Cost"/>
    <x:tableColumn id="12" name="QB Reload"/>
    <x:tableColumn id="13" name="Assault Boost End Speed"/>
    <x:tableColumn id="14" name="Assault Boost EN/sec"/>
    <x:tableColumn id="15" name="Melee Thrust End Speed"/>
    <x:tableColumn id="16" name="Melee Thrust EN/sec"/>
    <x:tableColumn id="17" name="Model I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unique_Generator" displayName="unique_Generator" ref="A28:M49" headerRowCount="1" totalsRowCount="0" totalsRowShown="0">
  <x:tableColumns count="13">
    <x:tableColumn id="1" name="ID"/>
    <x:tableColumn id="2" name="Part Name"/>
    <x:tableColumn id="3" name="Data Status"/>
    <x:tableColumn id="4" name="Weight"/>
    <x:tableColumn id="5" name="EN Load"/>
    <x:tableColumn id="6" name="EN Capacity"/>
    <x:tableColumn id="7" name="EN Recharge"/>
    <x:tableColumn id="8" name="Recharge Delay"/>
    <x:tableColumn id="9" name="Empty Recovery Delay"/>
    <x:tableColumn id="10" name="Post-Recovery EN"/>
    <x:tableColumn id="11" name="EN Firearm Spec."/>
    <x:tableColumn id="12" name="Thruster Color Type"/>
    <x:tableColumn id="13" name="Model I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unique_Weapon" displayName="unique_Weapon" ref="A53:V190" headerRowCount="1" totalsRowCount="0" totalsRowShown="0">
  <x:tableColumns count="22">
    <x:tableColumn id="1" name="ID"/>
    <x:tableColumn id="2" name="Part Name"/>
    <x:tableColumn id="3" name="Data Status"/>
    <x:tableColumn id="4" name="Internal Label"/>
    <x:tableColumn id="5" name="Menu Category"/>
    <x:tableColumn id="6" name="Weight"/>
    <x:tableColumn id="7" name="EN Load"/>
    <x:tableColumn id="8" name="Attack Power"/>
    <x:tableColumn id="9" name="Attack Count"/>
    <x:tableColumn id="10" name="Impact"/>
    <x:tableColumn id="11" name="Accum. Impact"/>
    <x:tableColumn id="12" name="Direct Hit"/>
    <x:tableColumn id="13" name="PA Interference"/>
    <x:tableColumn id="14" name="Range"/>
    <x:tableColumn id="15" name="Total Ammo"/>
    <x:tableColumn id="16" name="Magazine Reload"/>
    <x:tableColumn id="17" name="Charge Time"/>
    <x:tableColumn id="18" name="Charged Attack"/>
    <x:tableColumn id="19" name="Charged Impact"/>
    <x:tableColumn id="20" name="Charged Accum. Impact"/>
    <x:tableColumn id="21" name="Heat per Shot"/>
    <x:tableColumn id="22" name="Model ID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unique_Armor_Head" displayName="unique_Armor_Head" ref="A194:O228" headerRowCount="1" totalsRowCount="0" totalsRowShown="0">
  <x:tableColumns count="15">
    <x:tableColumn id="1" name="ID"/>
    <x:tableColumn id="2" name="Part Name"/>
    <x:tableColumn id="3" name="Data Status"/>
    <x:tableColumn id="4" name="Internal Label"/>
    <x:tableColumn id="5" name="AP"/>
    <x:tableColumn id="6" name="Weight"/>
    <x:tableColumn id="7" name="EN Load"/>
    <x:tableColumn id="8" name="Kinetic Defense"/>
    <x:tableColumn id="9" name="Energy Defense"/>
    <x:tableColumn id="10" name="Explosive Defense"/>
    <x:tableColumn id="11" name="Attitude Stability"/>
    <x:tableColumn id="12" name="System Recovery"/>
    <x:tableColumn id="13" name="Scan Distance"/>
    <x:tableColumn id="14" name="Scan Duration"/>
    <x:tableColumn id="15" name="Model I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unique_Armor_Core" displayName="unique_Armor_Core" ref="A232:O264" headerRowCount="1" totalsRowCount="0" totalsRowShown="0">
  <x:tableColumns count="15">
    <x:tableColumn id="1" name="ID"/>
    <x:tableColumn id="2" name="Part Name"/>
    <x:tableColumn id="3" name="Data Status"/>
    <x:tableColumn id="4" name="Internal Label"/>
    <x:tableColumn id="5" name="AP"/>
    <x:tableColumn id="6" name="Weight"/>
    <x:tableColumn id="7" name="EN Load"/>
    <x:tableColumn id="8" name="Kinetic Defense"/>
    <x:tableColumn id="9" name="Energy Defense"/>
    <x:tableColumn id="10" name="Explosive Defense"/>
    <x:tableColumn id="11" name="Attitude Stability"/>
    <x:tableColumn id="12" name="Generator Output Adj."/>
    <x:tableColumn id="13" name="Generator Supply Adj."/>
    <x:tableColumn id="14" name="Booster Efficiency Adj."/>
    <x:tableColumn id="15" name="Model I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unique_Armor_Arms" displayName="unique_Armor_Arms" ref="A268:O297" headerRowCount="1" totalsRowCount="0" totalsRowShown="0">
  <x:tableColumns count="15">
    <x:tableColumn id="1" name="ID"/>
    <x:tableColumn id="2" name="Part Name"/>
    <x:tableColumn id="3" name="Data Status"/>
    <x:tableColumn id="4" name="Internal Label"/>
    <x:tableColumn id="5" name="AP"/>
    <x:tableColumn id="6" name="Weight"/>
    <x:tableColumn id="7" name="EN Load"/>
    <x:tableColumn id="8" name="Kinetic Defense"/>
    <x:tableColumn id="9" name="Energy Defense"/>
    <x:tableColumn id="10" name="Explosive Defense"/>
    <x:tableColumn id="11" name="Recoil Control"/>
    <x:tableColumn id="12" name="Arms Load Limit"/>
    <x:tableColumn id="13" name="Firearm Specialization"/>
    <x:tableColumn id="14" name="Melee Specialization"/>
    <x:tableColumn id="15" name="Model ID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unique_Armor_Legs" displayName="unique_Armor_Legs" ref="A301:O332" headerRowCount="1" totalsRowCount="0" totalsRowShown="0">
  <x:tableColumns count="15">
    <x:tableColumn id="1" name="ID"/>
    <x:tableColumn id="2" name="Part Name"/>
    <x:tableColumn id="3" name="Data Status"/>
    <x:tableColumn id="4" name="Internal Label"/>
    <x:tableColumn id="5" name="AP"/>
    <x:tableColumn id="6" name="Weight"/>
    <x:tableColumn id="7" name="EN Load"/>
    <x:tableColumn id="8" name="Kinetic Defense"/>
    <x:tableColumn id="9" name="Energy Defense"/>
    <x:tableColumn id="10" name="Explosive Defense"/>
    <x:tableColumn id="11" name="Attitude Stability"/>
    <x:tableColumn id="12" name="Load Limit"/>
    <x:tableColumn id="13" name="Jump Height"/>
    <x:tableColumn id="14" name="Jump Distance Speed"/>
    <x:tableColumn id="15" name="Model ID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odifiedPartChanges" displayName="ModifiedPartChanges" ref="A4:J104" headerRowCount="1" totalsRowCount="0" totalsRowShown="0">
  <x:tableColumns count="10">
    <x:tableColumn id="1" name="Part Type"/>
    <x:tableColumn id="2" name="Armor Subtype"/>
    <x:tableColumn id="3" name="ID"/>
    <x:tableColumn id="4" name="Part Name"/>
    <x:tableColumn id="5" name="Changed Stat"/>
    <x:tableColumn id="6" name="Source Field"/>
    <x:tableColumn id="7" name="Base Game"/>
    <x:tableColumn id="8" name="Aftermath"/>
    <x:tableColumn id="9" name="Delta"/>
    <x:tableColumn id="10" name="% Chang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fb3dbd8d154e2a" /><Relationship Type="http://schemas.openxmlformats.org/officeDocument/2006/relationships/table" Target="/xl/tables/table2.xml" Id="R5dd135f9e1ab4a77" /><Relationship Type="http://schemas.openxmlformats.org/officeDocument/2006/relationships/table" Target="/xl/tables/table3.xml" Id="Rd0366ff5a53d4f4c" /><Relationship Type="http://schemas.openxmlformats.org/officeDocument/2006/relationships/table" Target="/xl/tables/table4.xml" Id="R35142539cb574ebc" /><Relationship Type="http://schemas.openxmlformats.org/officeDocument/2006/relationships/table" Target="/xl/tables/table5.xml" Id="Rc2acb30b4d414a43" /><Relationship Type="http://schemas.openxmlformats.org/officeDocument/2006/relationships/table" Target="/xl/tables/table6.xml" Id="R73d5b9a06d974aab" /><Relationship Type="http://schemas.openxmlformats.org/officeDocument/2006/relationships/table" Target="/xl/tables/table7.xml" Id="Ra5d276a797ba4a89" /><Relationship Type="http://schemas.openxmlformats.org/officeDocument/2006/relationships/table" Target="/xl/tables/table8.xml" Id="R212843e2ebec4a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9.xml" Id="R5e2488a5c5a84c0d" /><Relationship Type="http://schemas.openxmlformats.org/officeDocument/2006/relationships/table" Target="/xl/tables/table10.xml" Id="Raee599a2496149e9" /><Relationship Type="http://schemas.openxmlformats.org/officeDocument/2006/relationships/table" Target="/xl/tables/table11.xml" Id="Rca5aad7ac58141b2" /><Relationship Type="http://schemas.openxmlformats.org/officeDocument/2006/relationships/table" Target="/xl/tables/table12.xml" Id="R027baafb532e48ee" /><Relationship Type="http://schemas.openxmlformats.org/officeDocument/2006/relationships/table" Target="/xl/tables/table13.xml" Id="R7810d1047744455b" /><Relationship Type="http://schemas.openxmlformats.org/officeDocument/2006/relationships/table" Target="/xl/tables/table14.xml" Id="Rbead0f15c0a64dbe" /><Relationship Type="http://schemas.openxmlformats.org/officeDocument/2006/relationships/table" Target="/xl/tables/table15.xml" Id="R3d28e983f25a48da" /><Relationship Type="http://schemas.openxmlformats.org/officeDocument/2006/relationships/table" Target="/xl/tables/table16.xml" Id="R97b4abd1ff364c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7.xml" Id="R2308c266469b49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129" t="str">
        <x:v>Aftermath Parts Stat Compendium</x:v>
      </x:c>
      <x:c r="B1" s="129"/>
      <x:c r="C1" s="129"/>
      <x:c r="D1" s="129"/>
      <x:c r="E1" s="129"/>
      <x:c r="F1" s="129"/>
      <x:c r="G1" s="129"/>
      <x:c r="H1" s="129"/>
      <x:c r="I1" s="129"/>
      <x:c r="J1" s="129"/>
    </x:row>
    <x:row r="2" ht="26" customHeight="1">
      <x:c r="A2" s="24" t="str">
        <x:v>Comparison of base Armored Core VI exports against the Aftermath mod exports.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28" customHeight="1">
      <x:c r="A4" s="130" t="str">
        <x:v>Part Type</x:v>
      </x:c>
      <x:c r="B4" s="130" t="str">
        <x:v>Base Game</x:v>
      </x:c>
      <x:c r="C4" s="130" t="str">
        <x:v>Aftermath Unique</x:v>
      </x:c>
      <x:c r="D4" s="130" t="str">
        <x:v>Modified Parts</x:v>
      </x:c>
      <x:c r="E4" s="25"/>
      <x:c r="F4" s="131" t="str">
        <x:v>Classification Method</x:v>
      </x:c>
      <x:c r="G4" s="131"/>
      <x:c r="H4" s="131"/>
      <x:c r="I4" s="131"/>
      <x:c r="J4" s="131"/>
    </x:row>
    <x:row r="5" ht="30" customHeight="1">
      <x:c r="A5" s="132" t="str">
        <x:v>FCS</x:v>
      </x:c>
      <x:c r="B5" s="132" t="n">
        <x:v>10</x:v>
      </x:c>
      <x:c r="C5" s="132" t="n">
        <x:v>6</x:v>
      </x:c>
      <x:c r="D5" s="132" t="n">
        <x:v>2</x:v>
      </x:c>
      <x:c r="E5" s="25"/>
      <x:c r="F5" s="133" t="str">
        <x:v>Base Game: every named entry in the vanilla FMG export.
Aftermath Unique: a named ID present in Aftermath but absent from the base-game name export.
Modified Parts: a shared named ID with a changed display name or changed user-facing stat. Internal padding and unused fields are intentionally excluded.</x:v>
      </x:c>
      <x:c r="G5" s="134"/>
      <x:c r="H5" s="134"/>
      <x:c r="I5" s="134"/>
      <x:c r="J5" s="135"/>
    </x:row>
    <x:row r="6" ht="30" customHeight="1">
      <x:c r="A6" s="136" t="str">
        <x:v>Booster</x:v>
      </x:c>
      <x:c r="B6" s="136" t="n">
        <x:v>12</x:v>
      </x:c>
      <x:c r="C6" s="136" t="n">
        <x:v>9</x:v>
      </x:c>
      <x:c r="D6" s="136" t="n">
        <x:v>3</x:v>
      </x:c>
      <x:c r="E6" s="25"/>
      <x:c r="F6" s="137"/>
      <x:c r="G6" s="138"/>
      <x:c r="H6" s="138"/>
      <x:c r="I6" s="138"/>
      <x:c r="J6" s="139"/>
    </x:row>
    <x:row r="7" ht="30" customHeight="1">
      <x:c r="A7" s="136" t="str">
        <x:v>Generator</x:v>
      </x:c>
      <x:c r="B7" s="136" t="n">
        <x:v>14</x:v>
      </x:c>
      <x:c r="C7" s="136" t="n">
        <x:v>21</x:v>
      </x:c>
      <x:c r="D7" s="136" t="n">
        <x:v>3</x:v>
      </x:c>
      <x:c r="E7" s="25"/>
      <x:c r="F7" s="137"/>
      <x:c r="G7" s="138"/>
      <x:c r="H7" s="138"/>
      <x:c r="I7" s="138"/>
      <x:c r="J7" s="139"/>
    </x:row>
    <x:row r="8" ht="30" customHeight="1">
      <x:c r="A8" s="136" t="str">
        <x:v>Weapon</x:v>
      </x:c>
      <x:c r="B8" s="136" t="n">
        <x:v>198</x:v>
      </x:c>
      <x:c r="C8" s="136" t="n">
        <x:v>137</x:v>
      </x:c>
      <x:c r="D8" s="136" t="n">
        <x:v>18</x:v>
      </x:c>
      <x:c r="E8" s="25"/>
      <x:c r="F8" s="137"/>
      <x:c r="G8" s="138"/>
      <x:c r="H8" s="138"/>
      <x:c r="I8" s="138"/>
      <x:c r="J8" s="139"/>
    </x:row>
    <x:row r="9" ht="30" customHeight="1">
      <x:c r="A9" s="136" t="str">
        <x:v>Armor</x:v>
      </x:c>
      <x:c r="B9" s="136" t="n">
        <x:v>84</x:v>
      </x:c>
      <x:c r="C9" s="136" t="n">
        <x:v>126</x:v>
      </x:c>
      <x:c r="D9" s="136" t="n">
        <x:v>34</x:v>
      </x:c>
      <x:c r="E9" s="25"/>
      <x:c r="F9" s="140"/>
      <x:c r="G9" s="141"/>
      <x:c r="H9" s="141"/>
      <x:c r="I9" s="141"/>
      <x:c r="J9" s="142"/>
    </x:row>
    <x:row r="10" ht="23" customHeight="1">
      <x:c r="A10" s="143" t="str">
        <x:v>Total</x:v>
      </x:c>
      <x:c r="B10" s="143" t="n">
        <x:f>SUM(B5:B9)</x:f>
        <x:v>318</x:v>
      </x:c>
      <x:c r="C10" s="143" t="n">
        <x:f>SUM(C5:C9)</x:f>
        <x:v>299</x:v>
      </x:c>
      <x:c r="D10" s="143" t="n">
        <x:f>SUM(D5:D9)</x:f>
        <x:v>60</x:v>
      </x:c>
      <x:c r="E10" s="25"/>
      <x:c r="F10" s="25"/>
      <x:c r="G10" s="25"/>
      <x:c r="H10" s="25"/>
      <x:c r="I10" s="25"/>
      <x:c r="J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 ht="27" customHeight="1">
      <x:c r="A13" s="144" t="str">
        <x:v>Important Data Notes</x:v>
      </x:c>
      <x:c r="B13" s="144"/>
      <x:c r="C13" s="144"/>
      <x:c r="D13" s="144"/>
      <x:c r="E13" s="144"/>
      <x:c r="F13" s="144"/>
      <x:c r="G13" s="144"/>
      <x:c r="H13" s="144"/>
      <x:c r="I13" s="144"/>
      <x:c r="J13" s="144"/>
    </x:row>
    <x:row r="14">
      <x:c r="A14" s="145" t="str">
        <x:v>Some Aftermath text entries do not have a corresponding row in the supplied stat CSV. They remain listed on the Aftermath Unique sheet with a red “No matching stat row” status. This commonly indicates that another parameter table—such as an NPC weapon table—contains the underlying statistics.
The Modified Parts sheet is long-form: each row is one changed stat, preserving the base value, Aftermath value, numeric delta, and percentage change where applicable.</x:v>
      </x:c>
      <x:c r="B14" s="146"/>
      <x:c r="C14" s="146"/>
      <x:c r="D14" s="146"/>
      <x:c r="E14" s="146"/>
      <x:c r="F14" s="146"/>
      <x:c r="G14" s="146"/>
      <x:c r="H14" s="146"/>
      <x:c r="I14" s="146"/>
      <x:c r="J14" s="147"/>
    </x:row>
    <x:row r="15">
      <x:c r="A15" s="148"/>
      <x:c r="B15" s="149"/>
      <x:c r="C15" s="149"/>
      <x:c r="D15" s="149"/>
      <x:c r="E15" s="149"/>
      <x:c r="F15" s="149"/>
      <x:c r="G15" s="149"/>
      <x:c r="H15" s="149"/>
      <x:c r="I15" s="149"/>
      <x:c r="J15" s="150"/>
    </x:row>
    <x:row r="16">
      <x:c r="A16" s="148"/>
      <x:c r="B16" s="149"/>
      <x:c r="C16" s="149"/>
      <x:c r="D16" s="149"/>
      <x:c r="E16" s="149"/>
      <x:c r="F16" s="149"/>
      <x:c r="G16" s="149"/>
      <x:c r="H16" s="149"/>
      <x:c r="I16" s="149"/>
      <x:c r="J16" s="150"/>
    </x:row>
    <x:row r="17">
      <x:c r="A17" s="148"/>
      <x:c r="B17" s="149"/>
      <x:c r="C17" s="149"/>
      <x:c r="D17" s="149"/>
      <x:c r="E17" s="149"/>
      <x:c r="F17" s="149"/>
      <x:c r="G17" s="149"/>
      <x:c r="H17" s="149"/>
      <x:c r="I17" s="149"/>
      <x:c r="J17" s="150"/>
    </x:row>
    <x:row r="18">
      <x:c r="A18" s="151"/>
      <x:c r="B18" s="152"/>
      <x:c r="C18" s="152"/>
      <x:c r="D18" s="152"/>
      <x:c r="E18" s="152"/>
      <x:c r="F18" s="152"/>
      <x:c r="G18" s="152"/>
      <x:c r="H18" s="152"/>
      <x:c r="I18" s="152"/>
      <x:c r="J18" s="153"/>
    </x:row>
  </x:sheetData>
  <x:mergeCells>
    <x:mergeCell ref="A1:J1"/>
    <x:mergeCell ref="A2:J2"/>
    <x:mergeCell ref="F4:J4"/>
    <x:mergeCell ref="F5:J9"/>
    <x:mergeCell ref="A13:J13"/>
    <x:mergeCell ref="A14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34" customHeight="1">
      <x:c r="A1" s="23" t="str">
        <x:v>Base Game Parts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</x:row>
    <x:row r="2" ht="26" customHeight="1">
      <x:c r="A2" s="24" t="str">
        <x:v>Named parts from the unmodified Armored Core VI exports, grouped by part type.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</x:row>
    <x:row r="4" ht="25" customHeight="1">
      <x:c r="A4" s="23" t="str">
        <x:v>FCS  •  10 parts</x:v>
      </x:c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5"/>
      <x:c r="N4" s="25"/>
      <x:c r="O4" s="25"/>
      <x:c r="P4" s="25"/>
      <x:c r="Q4" s="25"/>
      <x:c r="R4" s="25"/>
      <x:c r="S4" s="25"/>
      <x:c r="T4" s="25"/>
      <x:c r="U4" s="25"/>
      <x:c r="V4" s="25"/>
    </x:row>
    <x:row r="5" ht="32" customHeight="1">
      <x:c r="A5" s="26" t="str">
        <x:v>ID</x:v>
      </x:c>
      <x:c r="B5" s="26" t="str">
        <x:v>Part Name</x:v>
      </x:c>
      <x:c r="C5" s="26" t="str">
        <x:v>Data Status</x:v>
      </x:c>
      <x:c r="D5" s="26" t="str">
        <x:v>Weight</x:v>
      </x:c>
      <x:c r="E5" s="26" t="str">
        <x:v>EN Load</x:v>
      </x:c>
      <x:c r="F5" s="26" t="str">
        <x:v>Missile Lock Performance</x:v>
      </x:c>
      <x:c r="G5" s="26" t="str">
        <x:v>Missile Lock Time Rate</x:v>
      </x:c>
      <x:c r="H5" s="26" t="str">
        <x:v>Multi-Lock Time Rate</x:v>
      </x:c>
      <x:c r="I5" s="26" t="str">
        <x:v>Prediction Bullet Speed</x:v>
      </x:c>
      <x:c r="J5" s="26" t="str">
        <x:v>Prediction Max Offset</x:v>
      </x:c>
      <x:c r="K5" s="26" t="str">
        <x:v>Prediction Start Distance</x:v>
      </x:c>
      <x:c r="L5" s="26" t="str">
        <x:v>Model ID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</x:row>
    <x:row r="6">
      <x:c r="A6" s="27" t="str">
        <x:v>70000000</x:v>
      </x:c>
      <x:c r="B6" s="28" t="str">
        <x:v>FCS-G1/P01</x:v>
      </x:c>
      <x:c r="C6" s="28" t="str">
        <x:v>Available</x:v>
      </x:c>
      <x:c r="D6" s="28" t="n">
        <x:v>80</x:v>
      </x:c>
      <x:c r="E6" s="28" t="n">
        <x:v>198</x:v>
      </x:c>
      <x:c r="F6" s="28" t="n">
        <x:v>0</x:v>
      </x:c>
      <x:c r="G6" s="28" t="n">
        <x:v>1.2</x:v>
      </x:c>
      <x:c r="H6" s="28" t="n">
        <x:v>1.6</x:v>
      </x:c>
      <x:c r="I6" s="28" t="n">
        <x:v>350</x:v>
      </x:c>
      <x:c r="J6" s="28" t="n">
        <x:v>80</x:v>
      </x:c>
      <x:c r="K6" s="28" t="n">
        <x:v>390</x:v>
      </x:c>
      <x:c r="L6" s="28" t="str">
        <x:v>8960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</x:row>
    <x:row r="7">
      <x:c r="A7" s="29" t="str">
        <x:v>70010000</x:v>
      </x:c>
      <x:c r="B7" s="30" t="str">
        <x:v>FCS-G2/P05</x:v>
      </x:c>
      <x:c r="C7" s="30" t="str">
        <x:v>Available</x:v>
      </x:c>
      <x:c r="D7" s="30" t="n">
        <x:v>100</x:v>
      </x:c>
      <x:c r="E7" s="30" t="n">
        <x:v>232</x:v>
      </x:c>
      <x:c r="F7" s="30" t="n">
        <x:v>0</x:v>
      </x:c>
      <x:c r="G7" s="30" t="n">
        <x:v>0.95</x:v>
      </x:c>
      <x:c r="H7" s="30" t="n">
        <x:v>1.4</x:v>
      </x:c>
      <x:c r="I7" s="30" t="n">
        <x:v>350</x:v>
      </x:c>
      <x:c r="J7" s="30" t="n">
        <x:v>80</x:v>
      </x:c>
      <x:c r="K7" s="30" t="n">
        <x:v>390</x:v>
      </x:c>
      <x:c r="L7" s="30" t="str">
        <x:v>8961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</x:row>
    <x:row r="8">
      <x:c r="A8" s="29" t="str">
        <x:v>70010100</x:v>
      </x:c>
      <x:c r="B8" s="30" t="str">
        <x:v>FCS-G2/P10SLT</x:v>
      </x:c>
      <x:c r="C8" s="30" t="str">
        <x:v>Available</x:v>
      </x:c>
      <x:c r="D8" s="30" t="n">
        <x:v>120</x:v>
      </x:c>
      <x:c r="E8" s="30" t="n">
        <x:v>209</x:v>
      </x:c>
      <x:c r="F8" s="30" t="n">
        <x:v>0</x:v>
      </x:c>
      <x:c r="G8" s="30" t="n">
        <x:v>0.72</x:v>
      </x:c>
      <x:c r="H8" s="30" t="n">
        <x:v>1.1</x:v>
      </x:c>
      <x:c r="I8" s="30" t="n">
        <x:v>350</x:v>
      </x:c>
      <x:c r="J8" s="30" t="n">
        <x:v>80</x:v>
      </x:c>
      <x:c r="K8" s="30" t="n">
        <x:v>390</x:v>
      </x:c>
      <x:c r="L8" s="30" t="str">
        <x:v>8962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</x:row>
    <x:row r="9">
      <x:c r="A9" s="29" t="str">
        <x:v>70010200</x:v>
      </x:c>
      <x:c r="B9" s="30" t="str">
        <x:v>FCS-G2/P12SML</x:v>
      </x:c>
      <x:c r="C9" s="30" t="str">
        <x:v>Available</x:v>
      </x:c>
      <x:c r="D9" s="30" t="n">
        <x:v>130</x:v>
      </x:c>
      <x:c r="E9" s="30" t="n">
        <x:v>278</x:v>
      </x:c>
      <x:c r="F9" s="30" t="n">
        <x:v>0</x:v>
      </x:c>
      <x:c r="G9" s="30" t="n">
        <x:v>0.82</x:v>
      </x:c>
      <x:c r="H9" s="30" t="n">
        <x:v>0.8</x:v>
      </x:c>
      <x:c r="I9" s="30" t="n">
        <x:v>350</x:v>
      </x:c>
      <x:c r="J9" s="30" t="n">
        <x:v>80</x:v>
      </x:c>
      <x:c r="K9" s="30" t="n">
        <x:v>390</x:v>
      </x:c>
      <x:c r="L9" s="30" t="str">
        <x:v>8963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</x:row>
    <x:row r="10">
      <x:c r="A10" s="29" t="str">
        <x:v>70010300</x:v>
      </x:c>
      <x:c r="B10" s="30" t="str">
        <x:v>FC-006 ABBOT</x:v>
      </x:c>
      <x:c r="C10" s="30" t="str">
        <x:v>Available</x:v>
      </x:c>
      <x:c r="D10" s="30" t="n">
        <x:v>90</x:v>
      </x:c>
      <x:c r="E10" s="30" t="n">
        <x:v>266</x:v>
      </x:c>
      <x:c r="F10" s="30" t="n">
        <x:v>0</x:v>
      </x:c>
      <x:c r="G10" s="30" t="n">
        <x:v>1.26</x:v>
      </x:c>
      <x:c r="H10" s="30" t="n">
        <x:v>1.54</x:v>
      </x:c>
      <x:c r="I10" s="30" t="n">
        <x:v>350</x:v>
      </x:c>
      <x:c r="J10" s="30" t="n">
        <x:v>80</x:v>
      </x:c>
      <x:c r="K10" s="30" t="n">
        <x:v>390</x:v>
      </x:c>
      <x:c r="L10" s="30" t="str">
        <x:v>8964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</x:row>
    <x:row r="11">
      <x:c r="A11" s="29" t="str">
        <x:v>70010400</x:v>
      </x:c>
      <x:c r="B11" s="30" t="str">
        <x:v>FC-008 TALBOT</x:v>
      </x:c>
      <x:c r="C11" s="30" t="str">
        <x:v>Available</x:v>
      </x:c>
      <x:c r="D11" s="30" t="n">
        <x:v>140</x:v>
      </x:c>
      <x:c r="E11" s="30" t="n">
        <x:v>312</x:v>
      </x:c>
      <x:c r="F11" s="30" t="n">
        <x:v>0</x:v>
      </x:c>
      <x:c r="G11" s="30" t="n">
        <x:v>0.97</x:v>
      </x:c>
      <x:c r="H11" s="30" t="n">
        <x:v>1.38</x:v>
      </x:c>
      <x:c r="I11" s="30" t="n">
        <x:v>350</x:v>
      </x:c>
      <x:c r="J11" s="30" t="n">
        <x:v>80</x:v>
      </x:c>
      <x:c r="K11" s="30" t="n">
        <x:v>390</x:v>
      </x:c>
      <x:c r="L11" s="30" t="str">
        <x:v>8965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</x:row>
    <x:row r="12">
      <x:c r="A12" s="29" t="str">
        <x:v>70020000</x:v>
      </x:c>
      <x:c r="B12" s="30" t="str">
        <x:v>VE-21A</x:v>
      </x:c>
      <x:c r="C12" s="30" t="str">
        <x:v>Available</x:v>
      </x:c>
      <x:c r="D12" s="30" t="n">
        <x:v>85</x:v>
      </x:c>
      <x:c r="E12" s="30" t="n">
        <x:v>320</x:v>
      </x:c>
      <x:c r="F12" s="30" t="n">
        <x:v>0</x:v>
      </x:c>
      <x:c r="G12" s="30" t="n">
        <x:v>1.35</x:v>
      </x:c>
      <x:c r="H12" s="30" t="n">
        <x:v>1.2</x:v>
      </x:c>
      <x:c r="I12" s="30" t="n">
        <x:v>350</x:v>
      </x:c>
      <x:c r="J12" s="30" t="n">
        <x:v>80</x:v>
      </x:c>
      <x:c r="K12" s="30" t="n">
        <x:v>390</x:v>
      </x:c>
      <x:c r="L12" s="30" t="str">
        <x:v>8966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</x:row>
    <x:row r="13">
      <x:c r="A13" s="29" t="str">
        <x:v>70020100</x:v>
      </x:c>
      <x:c r="B13" s="30" t="str">
        <x:v>VE-21B</x:v>
      </x:c>
      <x:c r="C13" s="30" t="str">
        <x:v>Available</x:v>
      </x:c>
      <x:c r="D13" s="30" t="n">
        <x:v>160</x:v>
      </x:c>
      <x:c r="E13" s="30" t="n">
        <x:v>388</x:v>
      </x:c>
      <x:c r="F13" s="30" t="n">
        <x:v>0</x:v>
      </x:c>
      <x:c r="G13" s="30" t="n">
        <x:v>1.03</x:v>
      </x:c>
      <x:c r="H13" s="30" t="n">
        <x:v>1.3</x:v>
      </x:c>
      <x:c r="I13" s="30" t="n">
        <x:v>350</x:v>
      </x:c>
      <x:c r="J13" s="30" t="n">
        <x:v>80</x:v>
      </x:c>
      <x:c r="K13" s="30" t="n">
        <x:v>390</x:v>
      </x:c>
      <x:c r="L13" s="30" t="str">
        <x:v>8967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</x:row>
    <x:row r="14">
      <x:c r="A14" s="29" t="str">
        <x:v>70030000</x:v>
      </x:c>
      <x:c r="B14" s="30" t="str">
        <x:v>IA-C01F: OCELLUS</x:v>
      </x:c>
      <x:c r="C14" s="30" t="str">
        <x:v>Available</x:v>
      </x:c>
      <x:c r="D14" s="30" t="n">
        <x:v>130</x:v>
      </x:c>
      <x:c r="E14" s="30" t="n">
        <x:v>292</x:v>
      </x:c>
      <x:c r="F14" s="30" t="n">
        <x:v>0</x:v>
      </x:c>
      <x:c r="G14" s="30" t="n">
        <x:v>1.55</x:v>
      </x:c>
      <x:c r="H14" s="30" t="n">
        <x:v>1.5</x:v>
      </x:c>
      <x:c r="I14" s="30" t="n">
        <x:v>350</x:v>
      </x:c>
      <x:c r="J14" s="30" t="n">
        <x:v>80</x:v>
      </x:c>
      <x:c r="K14" s="30" t="n">
        <x:v>390</x:v>
      </x:c>
      <x:c r="L14" s="30" t="str">
        <x:v>8968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</x:row>
    <x:row r="15">
      <x:c r="A15" s="31" t="str">
        <x:v>70030100</x:v>
      </x:c>
      <x:c r="B15" s="32" t="str">
        <x:v>IB-C03F: WLT 001</x:v>
      </x:c>
      <x:c r="C15" s="32" t="str">
        <x:v>Available</x:v>
      </x:c>
      <x:c r="D15" s="32" t="n">
        <x:v>150</x:v>
      </x:c>
      <x:c r="E15" s="32" t="n">
        <x:v>486</x:v>
      </x:c>
      <x:c r="F15" s="32" t="n">
        <x:v>0</x:v>
      </x:c>
      <x:c r="G15" s="32" t="n">
        <x:v>0.98</x:v>
      </x:c>
      <x:c r="H15" s="32" t="n">
        <x:v>1.34</x:v>
      </x:c>
      <x:c r="I15" s="32" t="n">
        <x:v>350</x:v>
      </x:c>
      <x:c r="J15" s="32" t="n">
        <x:v>80</x:v>
      </x:c>
      <x:c r="K15" s="32" t="n">
        <x:v>390</x:v>
      </x:c>
      <x:c r="L15" s="32" t="str">
        <x:v>8969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</x:row>
    <x:row r="18" ht="25" customHeight="1">
      <x:c r="A18" s="23" t="str">
        <x:v>Booster  •  12 parts</x:v>
      </x:c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5"/>
      <x:c r="S18" s="25"/>
      <x:c r="T18" s="25"/>
      <x:c r="U18" s="25"/>
      <x:c r="V18" s="25"/>
    </x:row>
    <x:row r="19" ht="32" customHeight="1">
      <x:c r="A19" s="26" t="str">
        <x:v>ID</x:v>
      </x:c>
      <x:c r="B19" s="26" t="str">
        <x:v>Part Name</x:v>
      </x:c>
      <x:c r="C19" s="26" t="str">
        <x:v>Data Status</x:v>
      </x:c>
      <x:c r="D19" s="26" t="str">
        <x:v>Weight</x:v>
      </x:c>
      <x:c r="E19" s="26" t="str">
        <x:v>EN Load</x:v>
      </x:c>
      <x:c r="F19" s="26" t="str">
        <x:v>Boost Max Speed</x:v>
      </x:c>
      <x:c r="G19" s="26" t="str">
        <x:v>Upward Max Speed</x:v>
      </x:c>
      <x:c r="H19" s="26" t="str">
        <x:v>Upward EN Cost</x:v>
      </x:c>
      <x:c r="I19" s="26" t="str">
        <x:v>QB End Speed</x:v>
      </x:c>
      <x:c r="J19" s="26" t="str">
        <x:v>QB Duration (F30)</x:v>
      </x:c>
      <x:c r="K19" s="26" t="str">
        <x:v>QB EN Cost</x:v>
      </x:c>
      <x:c r="L19" s="26" t="str">
        <x:v>QB Reload</x:v>
      </x:c>
      <x:c r="M19" s="26" t="str">
        <x:v>Assault Boost End Speed</x:v>
      </x:c>
      <x:c r="N19" s="26" t="str">
        <x:v>Assault Boost EN/sec</x:v>
      </x:c>
      <x:c r="O19" s="26" t="str">
        <x:v>Melee Thrust End Speed</x:v>
      </x:c>
      <x:c r="P19" s="26" t="str">
        <x:v>Melee Thrust EN/sec</x:v>
      </x:c>
      <x:c r="Q19" s="26" t="str">
        <x:v>Model ID</x:v>
      </x:c>
      <x:c r="R19" s="25"/>
      <x:c r="S19" s="25"/>
      <x:c r="T19" s="25"/>
      <x:c r="U19" s="25"/>
      <x:c r="V19" s="25"/>
    </x:row>
    <x:row r="20">
      <x:c r="A20" s="27" t="str">
        <x:v>60000000</x:v>
      </x:c>
      <x:c r="B20" s="28" t="str">
        <x:v>BST-G2/P04</x:v>
      </x:c>
      <x:c r="C20" s="28" t="str">
        <x:v>Available</x:v>
      </x:c>
      <x:c r="D20" s="28" t="n">
        <x:v>1710</x:v>
      </x:c>
      <x:c r="E20" s="28" t="n">
        <x:v>250</x:v>
      </x:c>
      <x:c r="F20" s="28" t="n">
        <x:v>280</x:v>
      </x:c>
      <x:c r="G20" s="28" t="n">
        <x:v>334</x:v>
      </x:c>
      <x:c r="H20" s="28" t="n">
        <x:v>650</x:v>
      </x:c>
      <x:c r="I20" s="28" t="n">
        <x:v>350</x:v>
      </x:c>
      <x:c r="J20" s="28" t="n">
        <x:v>11.5</x:v>
      </x:c>
      <x:c r="K20" s="28" t="n">
        <x:v>560</x:v>
      </x:c>
      <x:c r="L20" s="28" t="n">
        <x:v>0.56</x:v>
      </x:c>
      <x:c r="M20" s="28" t="n">
        <x:v>510</x:v>
      </x:c>
      <x:c r="N20" s="28" t="n">
        <x:v>353</x:v>
      </x:c>
      <x:c r="O20" s="28" t="n">
        <x:v>580</x:v>
      </x:c>
      <x:c r="P20" s="28" t="n">
        <x:v>470</x:v>
      </x:c>
      <x:c r="Q20" s="28" t="str">
        <x:v>1010</x:v>
      </x:c>
      <x:c r="R20" s="25"/>
      <x:c r="S20" s="25"/>
      <x:c r="T20" s="25"/>
      <x:c r="U20" s="25"/>
      <x:c r="V20" s="25"/>
    </x:row>
    <x:row r="21">
      <x:c r="A21" s="29" t="str">
        <x:v>60010000</x:v>
      </x:c>
      <x:c r="B21" s="30" t="str">
        <x:v>BC-0600 12345</x:v>
      </x:c>
      <x:c r="C21" s="30" t="str">
        <x:v>Available</x:v>
      </x:c>
      <x:c r="D21" s="30" t="n">
        <x:v>1360</x:v>
      </x:c>
      <x:c r="E21" s="30" t="n">
        <x:v>180</x:v>
      </x:c>
      <x:c r="F21" s="30" t="n">
        <x:v>280</x:v>
      </x:c>
      <x:c r="G21" s="30" t="n">
        <x:v>347</x:v>
      </x:c>
      <x:c r="H21" s="30" t="n">
        <x:v>800</x:v>
      </x:c>
      <x:c r="I21" s="30" t="n">
        <x:v>321</x:v>
      </x:c>
      <x:c r="J21" s="30" t="n">
        <x:v>16.5</x:v>
      </x:c>
      <x:c r="K21" s="30" t="n">
        <x:v>520</x:v>
      </x:c>
      <x:c r="L21" s="30" t="n">
        <x:v>0.8</x:v>
      </x:c>
      <x:c r="M21" s="30" t="n">
        <x:v>518</x:v>
      </x:c>
      <x:c r="N21" s="30" t="n">
        <x:v>372</x:v>
      </x:c>
      <x:c r="O21" s="30" t="n">
        <x:v>487</x:v>
      </x:c>
      <x:c r="P21" s="30" t="n">
        <x:v>496</x:v>
      </x:c>
      <x:c r="Q21" s="30" t="str">
        <x:v>2010</x:v>
      </x:c>
      <x:c r="R21" s="25"/>
      <x:c r="S21" s="25"/>
      <x:c r="T21" s="25"/>
      <x:c r="U21" s="25"/>
      <x:c r="V21" s="25"/>
    </x:row>
    <x:row r="22">
      <x:c r="A22" s="29" t="str">
        <x:v>60020000</x:v>
      </x:c>
      <x:c r="B22" s="30" t="str">
        <x:v>ALULA/21E</x:v>
      </x:c>
      <x:c r="C22" s="30" t="str">
        <x:v>Available</x:v>
      </x:c>
      <x:c r="D22" s="30" t="n">
        <x:v>1900</x:v>
      </x:c>
      <x:c r="E22" s="30" t="n">
        <x:v>410</x:v>
      </x:c>
      <x:c r="F22" s="30" t="n">
        <x:v>280</x:v>
      </x:c>
      <x:c r="G22" s="30" t="n">
        <x:v>304</x:v>
      </x:c>
      <x:c r="H22" s="30" t="n">
        <x:v>700</x:v>
      </x:c>
      <x:c r="I22" s="30" t="n">
        <x:v>368</x:v>
      </x:c>
      <x:c r="J22" s="30" t="n">
        <x:v>9</x:v>
      </x:c>
      <x:c r="K22" s="30" t="n">
        <x:v>690</x:v>
      </x:c>
      <x:c r="L22" s="30" t="n">
        <x:v>0.35</x:v>
      </x:c>
      <x:c r="M22" s="30" t="n">
        <x:v>545</x:v>
      </x:c>
      <x:c r="N22" s="30" t="n">
        <x:v>435</x:v>
      </x:c>
      <x:c r="O22" s="30" t="n">
        <x:v>652</x:v>
      </x:c>
      <x:c r="P22" s="30" t="n">
        <x:v>575</x:v>
      </x:c>
      <x:c r="Q22" s="30" t="str">
        <x:v>3010</x:v>
      </x:c>
      <x:c r="R22" s="25"/>
      <x:c r="S22" s="25"/>
      <x:c r="T22" s="25"/>
      <x:c r="U22" s="25"/>
      <x:c r="V22" s="25"/>
    </x:row>
    <x:row r="23">
      <x:c r="A23" s="29" t="str">
        <x:v>60030000</x:v>
      </x:c>
      <x:c r="B23" s="30" t="str">
        <x:v>FLUEGEL/21Z</x:v>
      </x:c>
      <x:c r="C23" s="30" t="str">
        <x:v>Available</x:v>
      </x:c>
      <x:c r="D23" s="30" t="n">
        <x:v>1980</x:v>
      </x:c>
      <x:c r="E23" s="30" t="n">
        <x:v>282</x:v>
      </x:c>
      <x:c r="F23" s="30" t="n">
        <x:v>280</x:v>
      </x:c>
      <x:c r="G23" s="30" t="n">
        <x:v>338</x:v>
      </x:c>
      <x:c r="H23" s="30" t="n">
        <x:v>680</x:v>
      </x:c>
      <x:c r="I23" s="30" t="n">
        <x:v>340</x:v>
      </x:c>
      <x:c r="J23" s="30" t="n">
        <x:v>12</x:v>
      </x:c>
      <x:c r="K23" s="30" t="n">
        <x:v>600</x:v>
      </x:c>
      <x:c r="L23" s="30" t="n">
        <x:v>0.5</x:v>
      </x:c>
      <x:c r="M23" s="30" t="n">
        <x:v>528</x:v>
      </x:c>
      <x:c r="N23" s="30" t="n">
        <x:v>398</x:v>
      </x:c>
      <x:c r="O23" s="30" t="n">
        <x:v>780</x:v>
      </x:c>
      <x:c r="P23" s="30" t="n">
        <x:v>485</x:v>
      </x:c>
      <x:c r="Q23" s="30" t="str">
        <x:v>4010</x:v>
      </x:c>
      <x:c r="R23" s="25"/>
      <x:c r="S23" s="25"/>
      <x:c r="T23" s="25"/>
      <x:c r="U23" s="25"/>
      <x:c r="V23" s="25"/>
    </x:row>
    <x:row r="24">
      <x:c r="A24" s="29" t="str">
        <x:v>60040000</x:v>
      </x:c>
      <x:c r="B24" s="30" t="str">
        <x:v>BUERZEL/21D</x:v>
      </x:c>
      <x:c r="C24" s="30" t="str">
        <x:v>Available</x:v>
      </x:c>
      <x:c r="D24" s="30" t="n">
        <x:v>2240</x:v>
      </x:c>
      <x:c r="E24" s="30" t="n">
        <x:v>480</x:v>
      </x:c>
      <x:c r="F24" s="30" t="n">
        <x:v>280</x:v>
      </x:c>
      <x:c r="G24" s="30" t="n">
        <x:v>318</x:v>
      </x:c>
      <x:c r="H24" s="30" t="n">
        <x:v>710</x:v>
      </x:c>
      <x:c r="I24" s="30" t="n">
        <x:v>307</x:v>
      </x:c>
      <x:c r="J24" s="30" t="n">
        <x:v>8</x:v>
      </x:c>
      <x:c r="K24" s="30" t="n">
        <x:v>630</x:v>
      </x:c>
      <x:c r="L24" s="30" t="n">
        <x:v>0.91</x:v>
      </x:c>
      <x:c r="M24" s="30" t="n">
        <x:v>558</x:v>
      </x:c>
      <x:c r="N24" s="30" t="n">
        <x:v>378</x:v>
      </x:c>
      <x:c r="O24" s="30" t="n">
        <x:v>624</x:v>
      </x:c>
      <x:c r="P24" s="30" t="n">
        <x:v>588</x:v>
      </x:c>
      <x:c r="Q24" s="30" t="str">
        <x:v>5010</x:v>
      </x:c>
      <x:c r="R24" s="25"/>
      <x:c r="S24" s="25"/>
      <x:c r="T24" s="25"/>
      <x:c r="U24" s="25"/>
      <x:c r="V24" s="25"/>
    </x:row>
    <x:row r="25">
      <x:c r="A25" s="29" t="str">
        <x:v>60050000</x:v>
      </x:c>
      <x:c r="B25" s="30" t="str">
        <x:v>BST-G2/P06SPD</x:v>
      </x:c>
      <x:c r="C25" s="30" t="str">
        <x:v>Available</x:v>
      </x:c>
      <x:c r="D25" s="30" t="n">
        <x:v>1420</x:v>
      </x:c>
      <x:c r="E25" s="30" t="n">
        <x:v>390</x:v>
      </x:c>
      <x:c r="F25" s="30" t="n">
        <x:v>280</x:v>
      </x:c>
      <x:c r="G25" s="30" t="n">
        <x:v>313</x:v>
      </x:c>
      <x:c r="H25" s="30" t="n">
        <x:v>672</x:v>
      </x:c>
      <x:c r="I25" s="30" t="n">
        <x:v>316</x:v>
      </x:c>
      <x:c r="J25" s="30" t="n">
        <x:v>11</x:v>
      </x:c>
      <x:c r="K25" s="30" t="n">
        <x:v>700</x:v>
      </x:c>
      <x:c r="L25" s="30" t="n">
        <x:v>0.5</x:v>
      </x:c>
      <x:c r="M25" s="30" t="n">
        <x:v>521</x:v>
      </x:c>
      <x:c r="N25" s="30" t="n">
        <x:v>381</x:v>
      </x:c>
      <x:c r="O25" s="30" t="n">
        <x:v>695</x:v>
      </x:c>
      <x:c r="P25" s="30" t="n">
        <x:v>507</x:v>
      </x:c>
      <x:c r="Q25" s="30" t="str">
        <x:v>6010</x:v>
      </x:c>
      <x:c r="R25" s="25"/>
      <x:c r="S25" s="25"/>
      <x:c r="T25" s="25"/>
      <x:c r="U25" s="25"/>
      <x:c r="V25" s="25"/>
    </x:row>
    <x:row r="26">
      <x:c r="A26" s="29" t="str">
        <x:v>60060000</x:v>
      </x:c>
      <x:c r="B26" s="30" t="str">
        <x:v>BC-0200 GRIDWALKER</x:v>
      </x:c>
      <x:c r="C26" s="30" t="str">
        <x:v>Available</x:v>
      </x:c>
      <x:c r="D26" s="30" t="n">
        <x:v>2010</x:v>
      </x:c>
      <x:c r="E26" s="30" t="n">
        <x:v>244</x:v>
      </x:c>
      <x:c r="F26" s="30" t="n">
        <x:v>280</x:v>
      </x:c>
      <x:c r="G26" s="30" t="n">
        <x:v>380</x:v>
      </x:c>
      <x:c r="H26" s="30" t="n">
        <x:v>660</x:v>
      </x:c>
      <x:c r="I26" s="30" t="n">
        <x:v>323</x:v>
      </x:c>
      <x:c r="J26" s="30" t="n">
        <x:v>10</x:v>
      </x:c>
      <x:c r="K26" s="30" t="n">
        <x:v>660</x:v>
      </x:c>
      <x:c r="L26" s="30" t="n">
        <x:v>0.7</x:v>
      </x:c>
      <x:c r="M26" s="30" t="n">
        <x:v>515</x:v>
      </x:c>
      <x:c r="N26" s="30" t="n">
        <x:v>387</x:v>
      </x:c>
      <x:c r="O26" s="30" t="n">
        <x:v>752</x:v>
      </x:c>
      <x:c r="P26" s="30" t="n">
        <x:v>520</x:v>
      </x:c>
      <x:c r="Q26" s="30" t="str">
        <x:v>7010</x:v>
      </x:c>
      <x:c r="R26" s="25"/>
      <x:c r="S26" s="25"/>
      <x:c r="T26" s="25"/>
      <x:c r="U26" s="25"/>
      <x:c r="V26" s="25"/>
    </x:row>
    <x:row r="27">
      <x:c r="A27" s="29" t="str">
        <x:v>60070000</x:v>
      </x:c>
      <x:c r="B27" s="30" t="str">
        <x:v>IB-C03B: NGI 001</x:v>
      </x:c>
      <x:c r="C27" s="30" t="str">
        <x:v>Available</x:v>
      </x:c>
      <x:c r="D27" s="30" t="n">
        <x:v>1930</x:v>
      </x:c>
      <x:c r="E27" s="30" t="n">
        <x:v>342</x:v>
      </x:c>
      <x:c r="F27" s="30" t="n">
        <x:v>280</x:v>
      </x:c>
      <x:c r="G27" s="30" t="n">
        <x:v>360</x:v>
      </x:c>
      <x:c r="H27" s="30" t="n">
        <x:v>750</x:v>
      </x:c>
      <x:c r="I27" s="30" t="n">
        <x:v>377</x:v>
      </x:c>
      <x:c r="J27" s="30" t="n">
        <x:v>13</x:v>
      </x:c>
      <x:c r="K27" s="30" t="n">
        <x:v>740</x:v>
      </x:c>
      <x:c r="L27" s="30" t="n">
        <x:v>0.63</x:v>
      </x:c>
      <x:c r="M27" s="30" t="n">
        <x:v>530</x:v>
      </x:c>
      <x:c r="N27" s="30" t="n">
        <x:v>405</x:v>
      </x:c>
      <x:c r="O27" s="30" t="n">
        <x:v>632</x:v>
      </x:c>
      <x:c r="P27" s="30" t="n">
        <x:v>558</x:v>
      </x:c>
      <x:c r="Q27" s="30" t="str">
        <x:v>8010</x:v>
      </x:c>
      <x:c r="R27" s="25"/>
      <x:c r="S27" s="25"/>
      <x:c r="T27" s="25"/>
      <x:c r="U27" s="25"/>
      <x:c r="V27" s="25"/>
    </x:row>
    <x:row r="28">
      <x:c r="A28" s="29" t="str">
        <x:v>60070100</x:v>
      </x:c>
      <x:c r="B28" s="30" t="str">
        <x:v>IA-C01B: GILLS</x:v>
      </x:c>
      <x:c r="C28" s="30" t="str">
        <x:v>Available</x:v>
      </x:c>
      <x:c r="D28" s="30" t="n">
        <x:v>1590</x:v>
      </x:c>
      <x:c r="E28" s="30" t="n">
        <x:v>400</x:v>
      </x:c>
      <x:c r="F28" s="30" t="n">
        <x:v>280</x:v>
      </x:c>
      <x:c r="G28" s="30" t="n">
        <x:v>329</x:v>
      </x:c>
      <x:c r="H28" s="30" t="n">
        <x:v>580</x:v>
      </x:c>
      <x:c r="I28" s="30" t="n">
        <x:v>320</x:v>
      </x:c>
      <x:c r="J28" s="30" t="n">
        <x:v>8.5</x:v>
      </x:c>
      <x:c r="K28" s="30" t="n">
        <x:v>620</x:v>
      </x:c>
      <x:c r="L28" s="30" t="n">
        <x:v>0.3</x:v>
      </x:c>
      <x:c r="M28" s="30" t="n">
        <x:v>522</x:v>
      </x:c>
      <x:c r="N28" s="30" t="n">
        <x:v>391</x:v>
      </x:c>
      <x:c r="O28" s="30" t="n">
        <x:v>371</x:v>
      </x:c>
      <x:c r="P28" s="30" t="n">
        <x:v>630</x:v>
      </x:c>
      <x:c r="Q28" s="30" t="str">
        <x:v>8020</x:v>
      </x:c>
      <x:c r="R28" s="25"/>
      <x:c r="S28" s="25"/>
      <x:c r="T28" s="25"/>
      <x:c r="U28" s="25"/>
      <x:c r="V28" s="25"/>
    </x:row>
    <x:row r="29">
      <x:c r="A29" s="29" t="str">
        <x:v>60070200</x:v>
      </x:c>
      <x:c r="B29" s="30" t="str">
        <x:v>AB-J-137 KIKAKU</x:v>
      </x:c>
      <x:c r="C29" s="30" t="str">
        <x:v>Available</x:v>
      </x:c>
      <x:c r="D29" s="30" t="n">
        <x:v>1820</x:v>
      </x:c>
      <x:c r="E29" s="30" t="n">
        <x:v>266</x:v>
      </x:c>
      <x:c r="F29" s="30" t="n">
        <x:v>280</x:v>
      </x:c>
      <x:c r="G29" s="30" t="n">
        <x:v>295</x:v>
      </x:c>
      <x:c r="H29" s="30" t="n">
        <x:v>656</x:v>
      </x:c>
      <x:c r="I29" s="30" t="n">
        <x:v>326</x:v>
      </x:c>
      <x:c r="J29" s="30" t="n">
        <x:v>9.5</x:v>
      </x:c>
      <x:c r="K29" s="30" t="n">
        <x:v>550</x:v>
      </x:c>
      <x:c r="L29" s="30" t="n">
        <x:v>0.55</x:v>
      </x:c>
      <x:c r="M29" s="30" t="n">
        <x:v>493</x:v>
      </x:c>
      <x:c r="N29" s="30" t="n">
        <x:v>320</x:v>
      </x:c>
      <x:c r="O29" s="30" t="n">
        <x:v>841</x:v>
      </x:c>
      <x:c r="P29" s="30" t="n">
        <x:v>425</x:v>
      </x:c>
      <x:c r="Q29" s="30" t="str">
        <x:v>8030</x:v>
      </x:c>
      <x:c r="R29" s="25"/>
      <x:c r="S29" s="25"/>
      <x:c r="T29" s="25"/>
      <x:c r="U29" s="25"/>
      <x:c r="V29" s="25"/>
    </x:row>
    <x:row r="30">
      <x:c r="A30" s="29" t="str">
        <x:v>60070300</x:v>
      </x:c>
      <x:c r="B30" s="30" t="str">
        <x:v>BC-0400 MULE</x:v>
      </x:c>
      <x:c r="C30" s="30" t="str">
        <x:v>Available</x:v>
      </x:c>
      <x:c r="D30" s="30" t="n">
        <x:v>970</x:v>
      </x:c>
      <x:c r="E30" s="30" t="n">
        <x:v>200</x:v>
      </x:c>
      <x:c r="F30" s="30" t="n">
        <x:v>280</x:v>
      </x:c>
      <x:c r="G30" s="30" t="n">
        <x:v>286</x:v>
      </x:c>
      <x:c r="H30" s="30" t="n">
        <x:v>405</x:v>
      </x:c>
      <x:c r="I30" s="30" t="n">
        <x:v>298</x:v>
      </x:c>
      <x:c r="J30" s="30" t="n">
        <x:v>14</x:v>
      </x:c>
      <x:c r="K30" s="30" t="n">
        <x:v>670</x:v>
      </x:c>
      <x:c r="L30" s="30" t="n">
        <x:v>0.58</x:v>
      </x:c>
      <x:c r="M30" s="30" t="n">
        <x:v>455</x:v>
      </x:c>
      <x:c r="N30" s="30" t="n">
        <x:v>381</x:v>
      </x:c>
      <x:c r="O30" s="30" t="n">
        <x:v>421</x:v>
      </x:c>
      <x:c r="P30" s="30" t="n">
        <x:v>390</x:v>
      </x:c>
      <x:c r="Q30" s="30" t="str">
        <x:v>8040</x:v>
      </x:c>
      <x:c r="R30" s="25"/>
      <x:c r="S30" s="25"/>
      <x:c r="T30" s="25"/>
      <x:c r="U30" s="25"/>
      <x:c r="V30" s="25"/>
    </x:row>
    <x:row r="31">
      <x:c r="A31" s="31" t="str">
        <x:v>60070400</x:v>
      </x:c>
      <x:c r="B31" s="32" t="str">
        <x:v>BST-G1/P10</x:v>
      </x:c>
      <x:c r="C31" s="32" t="str">
        <x:v>Available</x:v>
      </x:c>
      <x:c r="D31" s="32" t="n">
        <x:v>1300</x:v>
      </x:c>
      <x:c r="E31" s="32" t="n">
        <x:v>130</x:v>
      </x:c>
      <x:c r="F31" s="32" t="n">
        <x:v>280</x:v>
      </x:c>
      <x:c r="G31" s="32" t="n">
        <x:v>305</x:v>
      </x:c>
      <x:c r="H31" s="32" t="n">
        <x:v>630</x:v>
      </x:c>
      <x:c r="I31" s="32" t="n">
        <x:v>299</x:v>
      </x:c>
      <x:c r="J31" s="32" t="n">
        <x:v>11.7</x:v>
      </x:c>
      <x:c r="K31" s="32" t="n">
        <x:v>480</x:v>
      </x:c>
      <x:c r="L31" s="32" t="n">
        <x:v>0.6</x:v>
      </x:c>
      <x:c r="M31" s="32" t="n">
        <x:v>524</x:v>
      </x:c>
      <x:c r="N31" s="32" t="n">
        <x:v>377</x:v>
      </x:c>
      <x:c r="O31" s="32" t="n">
        <x:v>493</x:v>
      </x:c>
      <x:c r="P31" s="32" t="n">
        <x:v>529</x:v>
      </x:c>
      <x:c r="Q31" s="32" t="str">
        <x:v>9999</x:v>
      </x:c>
      <x:c r="R31" s="25"/>
      <x:c r="S31" s="25"/>
      <x:c r="T31" s="25"/>
      <x:c r="U31" s="25"/>
      <x:c r="V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</x:row>
    <x:row r="34" ht="25" customHeight="1">
      <x:c r="A34" s="23" t="str">
        <x:v>Generator  •  14 parts</x:v>
      </x:c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5"/>
      <x:c r="O34" s="25"/>
      <x:c r="P34" s="25"/>
      <x:c r="Q34" s="25"/>
      <x:c r="R34" s="25"/>
      <x:c r="S34" s="25"/>
      <x:c r="T34" s="25"/>
      <x:c r="U34" s="25"/>
      <x:c r="V34" s="25"/>
    </x:row>
    <x:row r="35" ht="32" customHeight="1">
      <x:c r="A35" s="26" t="str">
        <x:v>ID</x:v>
      </x:c>
      <x:c r="B35" s="26" t="str">
        <x:v>Part Name</x:v>
      </x:c>
      <x:c r="C35" s="26" t="str">
        <x:v>Data Status</x:v>
      </x:c>
      <x:c r="D35" s="26" t="str">
        <x:v>Weight</x:v>
      </x:c>
      <x:c r="E35" s="26" t="str">
        <x:v>EN Load</x:v>
      </x:c>
      <x:c r="F35" s="26" t="str">
        <x:v>EN Capacity</x:v>
      </x:c>
      <x:c r="G35" s="26" t="str">
        <x:v>EN Recharge</x:v>
      </x:c>
      <x:c r="H35" s="26" t="str">
        <x:v>Recharge Delay</x:v>
      </x:c>
      <x:c r="I35" s="26" t="str">
        <x:v>Empty Recovery Delay</x:v>
      </x:c>
      <x:c r="J35" s="26" t="str">
        <x:v>Post-Recovery EN</x:v>
      </x:c>
      <x:c r="K35" s="26" t="str">
        <x:v>EN Firearm Spec.</x:v>
      </x:c>
      <x:c r="L35" s="26" t="str">
        <x:v>Thruster Color Type</x:v>
      </x:c>
      <x:c r="M35" s="26" t="str">
        <x:v>Model ID</x:v>
      </x:c>
      <x:c r="N35" s="25"/>
      <x:c r="O35" s="25"/>
      <x:c r="P35" s="25"/>
      <x:c r="Q35" s="25"/>
      <x:c r="R35" s="25"/>
      <x:c r="S35" s="25"/>
      <x:c r="T35" s="25"/>
      <x:c r="U35" s="25"/>
      <x:c r="V35" s="25"/>
    </x:row>
    <x:row r="36">
      <x:c r="A36" s="27" t="str">
        <x:v>65000000</x:v>
      </x:c>
      <x:c r="B36" s="28" t="str">
        <x:v>AG-J-098 JOSO</x:v>
      </x:c>
      <x:c r="C36" s="28" t="str">
        <x:v>Available</x:v>
      </x:c>
      <x:c r="D36" s="28" t="n">
        <x:v>3420</x:v>
      </x:c>
      <x:c r="E36" s="28" t="n">
        <x:v>0</x:v>
      </x:c>
      <x:c r="F36" s="28" t="n">
        <x:v>2300</x:v>
      </x:c>
      <x:c r="G36" s="28" t="n">
        <x:v>2600</x:v>
      </x:c>
      <x:c r="H36" s="28" t="n">
        <x:v>1.3</x:v>
      </x:c>
      <x:c r="I36" s="28" t="n">
        <x:v>2</x:v>
      </x:c>
      <x:c r="J36" s="28" t="n">
        <x:v>400</x:v>
      </x:c>
      <x:c r="K36" s="28" t="n">
        <x:v>72</x:v>
      </x:c>
      <x:c r="L36" s="28" t="n">
        <x:v>0</x:v>
      </x:c>
      <x:c r="M36" s="28" t="str">
        <x:v>8980</x:v>
      </x:c>
      <x:c r="N36" s="25"/>
      <x:c r="O36" s="25"/>
      <x:c r="P36" s="25"/>
      <x:c r="Q36" s="25"/>
      <x:c r="R36" s="25"/>
      <x:c r="S36" s="25"/>
      <x:c r="T36" s="25"/>
      <x:c r="U36" s="25"/>
      <x:c r="V36" s="25"/>
    </x:row>
    <x:row r="37">
      <x:c r="A37" s="29" t="str">
        <x:v>65010000</x:v>
      </x:c>
      <x:c r="B37" s="30" t="str">
        <x:v>DF-GN-02 LING-TAI</x:v>
      </x:c>
      <x:c r="C37" s="30" t="str">
        <x:v>Available</x:v>
      </x:c>
      <x:c r="D37" s="30" t="n">
        <x:v>3860</x:v>
      </x:c>
      <x:c r="E37" s="30" t="n">
        <x:v>0</x:v>
      </x:c>
      <x:c r="F37" s="30" t="n">
        <x:v>2240</x:v>
      </x:c>
      <x:c r="G37" s="30" t="n">
        <x:v>2340</x:v>
      </x:c>
      <x:c r="H37" s="30" t="n">
        <x:v>0.5</x:v>
      </x:c>
      <x:c r="I37" s="30" t="n">
        <x:v>1.2</x:v>
      </x:c>
      <x:c r="J37" s="30" t="n">
        <x:v>280</x:v>
      </x:c>
      <x:c r="K37" s="30" t="n">
        <x:v>61</x:v>
      </x:c>
      <x:c r="L37" s="30" t="n">
        <x:v>0</x:v>
      </x:c>
      <x:c r="M37" s="30" t="str">
        <x:v>8981</x:v>
      </x:c>
      <x:c r="N37" s="25"/>
      <x:c r="O37" s="25"/>
      <x:c r="P37" s="25"/>
      <x:c r="Q37" s="25"/>
      <x:c r="R37" s="25"/>
      <x:c r="S37" s="25"/>
      <x:c r="T37" s="25"/>
      <x:c r="U37" s="25"/>
      <x:c r="V37" s="25"/>
    </x:row>
    <x:row r="38">
      <x:c r="A38" s="29" t="str">
        <x:v>65010100</x:v>
      </x:c>
      <x:c r="B38" s="30" t="str">
        <x:v>DF-GN-06 MING-TANG</x:v>
      </x:c>
      <x:c r="C38" s="30" t="str">
        <x:v>Available</x:v>
      </x:c>
      <x:c r="D38" s="30" t="n">
        <x:v>6320</x:v>
      </x:c>
      <x:c r="E38" s="30" t="n">
        <x:v>0</x:v>
      </x:c>
      <x:c r="F38" s="30" t="n">
        <x:v>3140</x:v>
      </x:c>
      <x:c r="G38" s="30" t="n">
        <x:v>3310</x:v>
      </x:c>
      <x:c r="H38" s="30" t="n">
        <x:v>0.69</x:v>
      </x:c>
      <x:c r="I38" s="30" t="n">
        <x:v>1.5</x:v>
      </x:c>
      <x:c r="J38" s="30" t="n">
        <x:v>440</x:v>
      </x:c>
      <x:c r="K38" s="30" t="n">
        <x:v>76</x:v>
      </x:c>
      <x:c r="L38" s="30" t="n">
        <x:v>0</x:v>
      </x:c>
      <x:c r="M38" s="30" t="str">
        <x:v>8982</x:v>
      </x:c>
      <x:c r="N38" s="25"/>
      <x:c r="O38" s="25"/>
      <x:c r="P38" s="25"/>
      <x:c r="Q38" s="25"/>
      <x:c r="R38" s="25"/>
      <x:c r="S38" s="25"/>
      <x:c r="T38" s="25"/>
      <x:c r="U38" s="25"/>
      <x:c r="V38" s="25"/>
    </x:row>
    <x:row r="39">
      <x:c r="A39" s="29" t="str">
        <x:v>65010200</x:v>
      </x:c>
      <x:c r="B39" s="30" t="str">
        <x:v>VP-20S</x:v>
      </x:c>
      <x:c r="C39" s="30" t="str">
        <x:v>Available</x:v>
      </x:c>
      <x:c r="D39" s="30" t="n">
        <x:v>3800</x:v>
      </x:c>
      <x:c r="E39" s="30" t="n">
        <x:v>0</x:v>
      </x:c>
      <x:c r="F39" s="30" t="n">
        <x:v>2620</x:v>
      </x:c>
      <x:c r="G39" s="30" t="n">
        <x:v>3400</x:v>
      </x:c>
      <x:c r="H39" s="30" t="n">
        <x:v>1.12</x:v>
      </x:c>
      <x:c r="I39" s="30" t="n">
        <x:v>2.3</x:v>
      </x:c>
      <x:c r="J39" s="30" t="n">
        <x:v>1200</x:v>
      </x:c>
      <x:c r="K39" s="30" t="n">
        <x:v>94</x:v>
      </x:c>
      <x:c r="L39" s="30" t="n">
        <x:v>1</x:v>
      </x:c>
      <x:c r="M39" s="30" t="str">
        <x:v>8983</x:v>
      </x:c>
      <x:c r="N39" s="25"/>
      <x:c r="O39" s="25"/>
      <x:c r="P39" s="25"/>
      <x:c r="Q39" s="25"/>
      <x:c r="R39" s="25"/>
      <x:c r="S39" s="25"/>
      <x:c r="T39" s="25"/>
      <x:c r="U39" s="25"/>
      <x:c r="V39" s="25"/>
    </x:row>
    <x:row r="40">
      <x:c r="A40" s="29" t="str">
        <x:v>65010300</x:v>
      </x:c>
      <x:c r="B40" s="30" t="str">
        <x:v>VP-20C</x:v>
      </x:c>
      <x:c r="C40" s="30" t="str">
        <x:v>Available</x:v>
      </x:c>
      <x:c r="D40" s="30" t="n">
        <x:v>5320</x:v>
      </x:c>
      <x:c r="E40" s="30" t="n">
        <x:v>0</x:v>
      </x:c>
      <x:c r="F40" s="30" t="n">
        <x:v>2870</x:v>
      </x:c>
      <x:c r="G40" s="30" t="n">
        <x:v>3670</x:v>
      </x:c>
      <x:c r="H40" s="30" t="n">
        <x:v>1.02</x:v>
      </x:c>
      <x:c r="I40" s="30" t="n">
        <x:v>2.2</x:v>
      </x:c>
      <x:c r="J40" s="30" t="n">
        <x:v>1230</x:v>
      </x:c>
      <x:c r="K40" s="30" t="n">
        <x:v>100</x:v>
      </x:c>
      <x:c r="L40" s="30" t="n">
        <x:v>1</x:v>
      </x:c>
      <x:c r="M40" s="30" t="str">
        <x:v>8984</x:v>
      </x:c>
      <x:c r="N40" s="25"/>
      <x:c r="O40" s="25"/>
      <x:c r="P40" s="25"/>
      <x:c r="Q40" s="25"/>
      <x:c r="R40" s="25"/>
      <x:c r="S40" s="25"/>
      <x:c r="T40" s="25"/>
      <x:c r="U40" s="25"/>
      <x:c r="V40" s="25"/>
    </x:row>
    <x:row r="41">
      <x:c r="A41" s="29" t="str">
        <x:v>65010400</x:v>
      </x:c>
      <x:c r="B41" s="30" t="str">
        <x:v>AG-E-013 YABA</x:v>
      </x:c>
      <x:c r="C41" s="30" t="str">
        <x:v>Available</x:v>
      </x:c>
      <x:c r="D41" s="30" t="n">
        <x:v>5080</x:v>
      </x:c>
      <x:c r="E41" s="30" t="n">
        <x:v>0</x:v>
      </x:c>
      <x:c r="F41" s="30" t="n">
        <x:v>3060</x:v>
      </x:c>
      <x:c r="G41" s="30" t="n">
        <x:v>3160</x:v>
      </x:c>
      <x:c r="H41" s="30" t="n">
        <x:v>0.78</x:v>
      </x:c>
      <x:c r="I41" s="30" t="n">
        <x:v>1.8</x:v>
      </x:c>
      <x:c r="J41" s="30" t="n">
        <x:v>1000</x:v>
      </x:c>
      <x:c r="K41" s="30" t="n">
        <x:v>95</x:v>
      </x:c>
      <x:c r="L41" s="30" t="n">
        <x:v>0</x:v>
      </x:c>
      <x:c r="M41" s="30" t="str">
        <x:v>8985</x:v>
      </x:c>
      <x:c r="N41" s="25"/>
      <x:c r="O41" s="25"/>
      <x:c r="P41" s="25"/>
      <x:c r="Q41" s="25"/>
      <x:c r="R41" s="25"/>
      <x:c r="S41" s="25"/>
      <x:c r="T41" s="25"/>
      <x:c r="U41" s="25"/>
      <x:c r="V41" s="25"/>
    </x:row>
    <x:row r="42">
      <x:c r="A42" s="29" t="str">
        <x:v>65020000</x:v>
      </x:c>
      <x:c r="B42" s="30" t="str">
        <x:v>VE-20A</x:v>
      </x:c>
      <x:c r="C42" s="30" t="str">
        <x:v>Available</x:v>
      </x:c>
      <x:c r="D42" s="30" t="n">
        <x:v>3590</x:v>
      </x:c>
      <x:c r="E42" s="30" t="n">
        <x:v>0</x:v>
      </x:c>
      <x:c r="F42" s="30" t="n">
        <x:v>2570</x:v>
      </x:c>
      <x:c r="G42" s="30" t="n">
        <x:v>3180</x:v>
      </x:c>
      <x:c r="H42" s="30" t="n">
        <x:v>1.27</x:v>
      </x:c>
      <x:c r="I42" s="30" t="n">
        <x:v>2.4</x:v>
      </x:c>
      <x:c r="J42" s="30" t="n">
        <x:v>600</x:v>
      </x:c>
      <x:c r="K42" s="30" t="n">
        <x:v>120</x:v>
      </x:c>
      <x:c r="L42" s="30" t="n">
        <x:v>1</x:v>
      </x:c>
      <x:c r="M42" s="30" t="str">
        <x:v>8986</x:v>
      </x:c>
      <x:c r="N42" s="25"/>
      <x:c r="O42" s="25"/>
      <x:c r="P42" s="25"/>
      <x:c r="Q42" s="25"/>
      <x:c r="R42" s="25"/>
      <x:c r="S42" s="25"/>
      <x:c r="T42" s="25"/>
      <x:c r="U42" s="25"/>
      <x:c r="V42" s="25"/>
    </x:row>
    <x:row r="43">
      <x:c r="A43" s="29" t="str">
        <x:v>65020100</x:v>
      </x:c>
      <x:c r="B43" s="30" t="str">
        <x:v>VE-20B</x:v>
      </x:c>
      <x:c r="C43" s="30" t="str">
        <x:v>Available</x:v>
      </x:c>
      <x:c r="D43" s="30" t="n">
        <x:v>5860</x:v>
      </x:c>
      <x:c r="E43" s="30" t="n">
        <x:v>0</x:v>
      </x:c>
      <x:c r="F43" s="30" t="n">
        <x:v>3300</x:v>
      </x:c>
      <x:c r="G43" s="30" t="n">
        <x:v>2890</x:v>
      </x:c>
      <x:c r="H43" s="30" t="n">
        <x:v>1.31</x:v>
      </x:c>
      <x:c r="I43" s="30" t="n">
        <x:v>2.55</x:v>
      </x:c>
      <x:c r="J43" s="30" t="n">
        <x:v>800</x:v>
      </x:c>
      <x:c r="K43" s="30" t="n">
        <x:v>150</x:v>
      </x:c>
      <x:c r="L43" s="30" t="n">
        <x:v>1</x:v>
      </x:c>
      <x:c r="M43" s="30" t="str">
        <x:v>8987</x:v>
      </x:c>
      <x:c r="N43" s="25"/>
      <x:c r="O43" s="25"/>
      <x:c r="P43" s="25"/>
      <x:c r="Q43" s="25"/>
      <x:c r="R43" s="25"/>
      <x:c r="S43" s="25"/>
      <x:c r="T43" s="25"/>
      <x:c r="U43" s="25"/>
      <x:c r="V43" s="25"/>
    </x:row>
    <x:row r="44">
      <x:c r="A44" s="29" t="str">
        <x:v>65030000</x:v>
      </x:c>
      <x:c r="B44" s="30" t="str">
        <x:v>IA-C01G: AORTA</x:v>
      </x:c>
      <x:c r="C44" s="30" t="str">
        <x:v>Available</x:v>
      </x:c>
      <x:c r="D44" s="30" t="n">
        <x:v>4330</x:v>
      </x:c>
      <x:c r="E44" s="30" t="n">
        <x:v>0</x:v>
      </x:c>
      <x:c r="F44" s="30" t="n">
        <x:v>3000</x:v>
      </x:c>
      <x:c r="G44" s="30" t="n">
        <x:v>3500</x:v>
      </x:c>
      <x:c r="H44" s="30" t="n">
        <x:v>4.2</x:v>
      </x:c>
      <x:c r="I44" s="30" t="n">
        <x:v>3</x:v>
      </x:c>
      <x:c r="J44" s="30" t="n">
        <x:v>2000</x:v>
      </x:c>
      <x:c r="K44" s="30" t="n">
        <x:v>105</x:v>
      </x:c>
      <x:c r="L44" s="30" t="n">
        <x:v>2</x:v>
      </x:c>
      <x:c r="M44" s="30" t="str">
        <x:v>8988</x:v>
      </x:c>
      <x:c r="N44" s="25"/>
      <x:c r="O44" s="25"/>
      <x:c r="P44" s="25"/>
      <x:c r="Q44" s="25"/>
      <x:c r="R44" s="25"/>
      <x:c r="S44" s="25"/>
      <x:c r="T44" s="25"/>
      <x:c r="U44" s="25"/>
      <x:c r="V44" s="25"/>
    </x:row>
    <x:row r="45">
      <x:c r="A45" s="29" t="str">
        <x:v>65030100</x:v>
      </x:c>
      <x:c r="B45" s="30" t="str">
        <x:v>IB-C03G: NGI 000</x:v>
      </x:c>
      <x:c r="C45" s="30" t="str">
        <x:v>Available</x:v>
      </x:c>
      <x:c r="D45" s="30" t="n">
        <x:v>8950</x:v>
      </x:c>
      <x:c r="E45" s="30" t="n">
        <x:v>0</x:v>
      </x:c>
      <x:c r="F45" s="30" t="n">
        <x:v>4400</x:v>
      </x:c>
      <x:c r="G45" s="30" t="n">
        <x:v>4340</x:v>
      </x:c>
      <x:c r="H45" s="30" t="n">
        <x:v>4</x:v>
      </x:c>
      <x:c r="I45" s="30" t="n">
        <x:v>3.2</x:v>
      </x:c>
      <x:c r="J45" s="30" t="n">
        <x:v>3100</x:v>
      </x:c>
      <x:c r="K45" s="30" t="n">
        <x:v>102</x:v>
      </x:c>
      <x:c r="L45" s="30" t="n">
        <x:v>2</x:v>
      </x:c>
      <x:c r="M45" s="30" t="str">
        <x:v>8989</x:v>
      </x:c>
      <x:c r="N45" s="25"/>
      <x:c r="O45" s="25"/>
      <x:c r="P45" s="25"/>
      <x:c r="Q45" s="25"/>
      <x:c r="R45" s="25"/>
      <x:c r="S45" s="25"/>
      <x:c r="T45" s="25"/>
      <x:c r="U45" s="25"/>
      <x:c r="V45" s="25"/>
    </x:row>
    <x:row r="46">
      <x:c r="A46" s="29" t="str">
        <x:v>65040000</x:v>
      </x:c>
      <x:c r="B46" s="30" t="str">
        <x:v>DF-GN-08 SAN-TAI</x:v>
      </x:c>
      <x:c r="C46" s="30" t="str">
        <x:v>Available</x:v>
      </x:c>
      <x:c r="D46" s="30" t="n">
        <x:v>10060</x:v>
      </x:c>
      <x:c r="E46" s="30" t="n">
        <x:v>0</x:v>
      </x:c>
      <x:c r="F46" s="30" t="n">
        <x:v>4420</x:v>
      </x:c>
      <x:c r="G46" s="30" t="n">
        <x:v>3210</x:v>
      </x:c>
      <x:c r="H46" s="30" t="n">
        <x:v>0.98</x:v>
      </x:c>
      <x:c r="I46" s="30" t="n">
        <x:v>1.9</x:v>
      </x:c>
      <x:c r="J46" s="30" t="n">
        <x:v>620</x:v>
      </x:c>
      <x:c r="K46" s="30" t="n">
        <x:v>88</x:v>
      </x:c>
      <x:c r="L46" s="30" t="n">
        <x:v>0</x:v>
      </x:c>
      <x:c r="M46" s="30" t="str">
        <x:v>8991</x:v>
      </x:c>
      <x:c r="N46" s="25"/>
      <x:c r="O46" s="25"/>
      <x:c r="P46" s="25"/>
      <x:c r="Q46" s="25"/>
      <x:c r="R46" s="25"/>
      <x:c r="S46" s="25"/>
      <x:c r="T46" s="25"/>
      <x:c r="U46" s="25"/>
      <x:c r="V46" s="25"/>
    </x:row>
    <x:row r="47">
      <x:c r="A47" s="29" t="str">
        <x:v>65040100</x:v>
      </x:c>
      <x:c r="B47" s="30" t="str">
        <x:v>VP-20D</x:v>
      </x:c>
      <x:c r="C47" s="30" t="str">
        <x:v>Available</x:v>
      </x:c>
      <x:c r="D47" s="30" t="n">
        <x:v>11030</x:v>
      </x:c>
      <x:c r="E47" s="30" t="n">
        <x:v>0</x:v>
      </x:c>
      <x:c r="F47" s="30" t="n">
        <x:v>3840</x:v>
      </x:c>
      <x:c r="G47" s="30" t="n">
        <x:v>4430</x:v>
      </x:c>
      <x:c r="H47" s="30" t="n">
        <x:v>1.21</x:v>
      </x:c>
      <x:c r="I47" s="30" t="n">
        <x:v>2.35</x:v>
      </x:c>
      <x:c r="J47" s="30" t="n">
        <x:v>1400</x:v>
      </x:c>
      <x:c r="K47" s="30" t="n">
        <x:v>108</x:v>
      </x:c>
      <x:c r="L47" s="30" t="n">
        <x:v>1</x:v>
      </x:c>
      <x:c r="M47" s="30" t="str">
        <x:v>8992</x:v>
      </x:c>
      <x:c r="N47" s="25"/>
      <x:c r="O47" s="25"/>
      <x:c r="P47" s="25"/>
      <x:c r="Q47" s="25"/>
      <x:c r="R47" s="25"/>
      <x:c r="S47" s="25"/>
      <x:c r="T47" s="25"/>
      <x:c r="U47" s="25"/>
      <x:c r="V47" s="25"/>
    </x:row>
    <x:row r="48">
      <x:c r="A48" s="29" t="str">
        <x:v>65040200</x:v>
      </x:c>
      <x:c r="B48" s="30" t="str">
        <x:v>AG-T-005 HOKUSHI</x:v>
      </x:c>
      <x:c r="C48" s="30" t="str">
        <x:v>Available</x:v>
      </x:c>
      <x:c r="D48" s="30" t="n">
        <x:v>7080</x:v>
      </x:c>
      <x:c r="E48" s="30" t="n">
        <x:v>0</x:v>
      </x:c>
      <x:c r="F48" s="30" t="n">
        <x:v>3420</x:v>
      </x:c>
      <x:c r="G48" s="30" t="n">
        <x:v>3810</x:v>
      </x:c>
      <x:c r="H48" s="30" t="n">
        <x:v>0.95</x:v>
      </x:c>
      <x:c r="I48" s="30" t="n">
        <x:v>2.7</x:v>
      </x:c>
      <x:c r="J48" s="30" t="n">
        <x:v>1020</x:v>
      </x:c>
      <x:c r="K48" s="30" t="n">
        <x:v>90</x:v>
      </x:c>
      <x:c r="L48" s="30" t="n">
        <x:v>0</x:v>
      </x:c>
      <x:c r="M48" s="30" t="str">
        <x:v>8990</x:v>
      </x:c>
      <x:c r="N48" s="25"/>
      <x:c r="O48" s="25"/>
      <x:c r="P48" s="25"/>
      <x:c r="Q48" s="25"/>
      <x:c r="R48" s="25"/>
      <x:c r="S48" s="25"/>
      <x:c r="T48" s="25"/>
      <x:c r="U48" s="25"/>
      <x:c r="V48" s="25"/>
    </x:row>
    <x:row r="49">
      <x:c r="A49" s="31" t="str">
        <x:v>65040300</x:v>
      </x:c>
      <x:c r="B49" s="32" t="str">
        <x:v>VE-20C</x:v>
      </x:c>
      <x:c r="C49" s="32" t="str">
        <x:v>Available</x:v>
      </x:c>
      <x:c r="D49" s="32" t="n">
        <x:v>10130</x:v>
      </x:c>
      <x:c r="E49" s="32" t="n">
        <x:v>0</x:v>
      </x:c>
      <x:c r="F49" s="32" t="n">
        <x:v>3690</x:v>
      </x:c>
      <x:c r="G49" s="32" t="n">
        <x:v>4090</x:v>
      </x:c>
      <x:c r="H49" s="32" t="n">
        <x:v>1.8</x:v>
      </x:c>
      <x:c r="I49" s="32" t="n">
        <x:v>2.65</x:v>
      </x:c>
      <x:c r="J49" s="32" t="n">
        <x:v>720</x:v>
      </x:c>
      <x:c r="K49" s="32" t="n">
        <x:v>128</x:v>
      </x:c>
      <x:c r="L49" s="32" t="n">
        <x:v>1</x:v>
      </x:c>
      <x:c r="M49" s="32" t="str">
        <x:v>8993</x:v>
      </x:c>
      <x:c r="N49" s="25"/>
      <x:c r="O49" s="25"/>
      <x:c r="P49" s="25"/>
      <x:c r="Q49" s="25"/>
      <x:c r="R49" s="25"/>
      <x:c r="S49" s="25"/>
      <x:c r="T49" s="25"/>
      <x:c r="U49" s="25"/>
      <x:c r="V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</x:row>
    <x:row r="52" ht="25" customHeight="1">
      <x:c r="A52" s="23" t="str">
        <x:v>Weapon  •  198 parts</x:v>
      </x:c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</x:row>
    <x:row r="53" ht="32" customHeight="1">
      <x:c r="A53" s="26" t="str">
        <x:v>ID</x:v>
      </x:c>
      <x:c r="B53" s="26" t="str">
        <x:v>Part Name</x:v>
      </x:c>
      <x:c r="C53" s="26" t="str">
        <x:v>Data Status</x:v>
      </x:c>
      <x:c r="D53" s="26" t="str">
        <x:v>Internal Label</x:v>
      </x:c>
      <x:c r="E53" s="26" t="str">
        <x:v>Menu Category</x:v>
      </x:c>
      <x:c r="F53" s="26" t="str">
        <x:v>Weight</x:v>
      </x:c>
      <x:c r="G53" s="26" t="str">
        <x:v>EN Load</x:v>
      </x:c>
      <x:c r="H53" s="26" t="str">
        <x:v>Attack Power</x:v>
      </x:c>
      <x:c r="I53" s="26" t="str">
        <x:v>Attack Count</x:v>
      </x:c>
      <x:c r="J53" s="26" t="str">
        <x:v>Impact</x:v>
      </x:c>
      <x:c r="K53" s="26" t="str">
        <x:v>Accum. Impact</x:v>
      </x:c>
      <x:c r="L53" s="26" t="str">
        <x:v>Direct Hit</x:v>
      </x:c>
      <x:c r="M53" s="26" t="str">
        <x:v>PA Interference</x:v>
      </x:c>
      <x:c r="N53" s="26" t="str">
        <x:v>Range</x:v>
      </x:c>
      <x:c r="O53" s="26" t="str">
        <x:v>Total Ammo</x:v>
      </x:c>
      <x:c r="P53" s="26" t="str">
        <x:v>Magazine Reload</x:v>
      </x:c>
      <x:c r="Q53" s="26" t="str">
        <x:v>Charge Time</x:v>
      </x:c>
      <x:c r="R53" s="26" t="str">
        <x:v>Charged Attack</x:v>
      </x:c>
      <x:c r="S53" s="26" t="str">
        <x:v>Charged Impact</x:v>
      </x:c>
      <x:c r="T53" s="26" t="str">
        <x:v>Charged Accum. Impact</x:v>
      </x:c>
      <x:c r="U53" s="26" t="str">
        <x:v>Heat per Shot</x:v>
      </x:c>
      <x:c r="V53" s="26" t="str">
        <x:v>Model ID</x:v>
      </x:c>
    </x:row>
    <x:row r="54">
      <x:c r="A54" s="27" t="str">
        <x:v>10000000</x:v>
      </x:c>
      <x:c r="B54" s="28" t="str">
        <x:v>MA-J-200 RANSETSU-RF</x:v>
      </x:c>
      <x:c r="C54" s="28" t="str">
        <x:v>Available</x:v>
      </x:c>
      <x:c r="D54" s="28" t="str">
        <x:v>BURST RIFLE - MA-J-200 RANSETSU-RF (Right)</x:v>
      </x:c>
      <x:c r="E54" s="28" t="n">
        <x:v>1</x:v>
      </x:c>
      <x:c r="F54" s="28" t="n">
        <x:v>4210</x:v>
      </x:c>
      <x:c r="G54" s="28" t="n">
        <x:v>158</x:v>
      </x:c>
      <x:c r="H54" s="28" t="n">
        <x:v>0</x:v>
      </x:c>
      <x:c r="I54" s="28" t="n">
        <x:v>0</x:v>
      </x:c>
      <x:c r="J54" s="28" t="n">
        <x:v>0</x:v>
      </x:c>
      <x:c r="K54" s="28" t="n">
        <x:v>0</x:v>
      </x:c>
      <x:c r="L54" s="28" t="n">
        <x:v>0</x:v>
      </x:c>
      <x:c r="M54" s="28" t="n">
        <x:v>0</x:v>
      </x:c>
      <x:c r="N54" s="28" t="n">
        <x:v>0</x:v>
      </x:c>
      <x:c r="O54" s="28" t="n">
        <x:v>375</x:v>
      </x:c>
      <x:c r="P54" s="28" t="n">
        <x:v>1.8</x:v>
      </x:c>
      <x:c r="Q54" s="28" t="n">
        <x:v>0</x:v>
      </x:c>
      <x:c r="R54" s="28" t="n">
        <x:v>0</x:v>
      </x:c>
      <x:c r="S54" s="28" t="n">
        <x:v>0</x:v>
      </x:c>
      <x:c r="T54" s="28" t="n">
        <x:v>0</x:v>
      </x:c>
      <x:c r="U54" s="28" t="n">
        <x:v>1</x:v>
      </x:c>
      <x:c r="V54" s="28" t="str">
        <x:v>1610</x:v>
      </x:c>
    </x:row>
    <x:row r="55">
      <x:c r="A55" s="29" t="str">
        <x:v>10000100</x:v>
      </x:c>
      <x:c r="B55" s="30" t="str">
        <x:v>LR-036 CURTIS</x:v>
      </x:c>
      <x:c r="C55" s="30" t="str">
        <x:v>Available</x:v>
      </x:c>
      <x:c r="D55" s="30" t="str">
        <x:v>LINEAR RIFLE - LR-036 CURTIS (Right)</x:v>
      </x:c>
      <x:c r="E55" s="30" t="n">
        <x:v>1</x:v>
      </x:c>
      <x:c r="F55" s="30" t="n">
        <x:v>4150</x:v>
      </x:c>
      <x:c r="G55" s="30" t="n">
        <x:v>289</x:v>
      </x:c>
      <x:c r="H55" s="30" t="n">
        <x:v>0</x:v>
      </x:c>
      <x:c r="I55" s="30" t="n">
        <x:v>0</x:v>
      </x:c>
      <x:c r="J55" s="30" t="n">
        <x:v>0</x:v>
      </x:c>
      <x:c r="K55" s="30" t="n">
        <x:v>0</x:v>
      </x:c>
      <x:c r="L55" s="30" t="n">
        <x:v>0</x:v>
      </x:c>
      <x:c r="M55" s="30" t="n">
        <x:v>0</x:v>
      </x:c>
      <x:c r="N55" s="30" t="n">
        <x:v>0</x:v>
      </x:c>
      <x:c r="O55" s="30" t="n">
        <x:v>420</x:v>
      </x:c>
      <x:c r="P55" s="30" t="n">
        <x:v>2.2</x:v>
      </x:c>
      <x:c r="Q55" s="30" t="n">
        <x:v>0</x:v>
      </x:c>
      <x:c r="R55" s="30" t="n">
        <x:v>0</x:v>
      </x:c>
      <x:c r="S55" s="30" t="n">
        <x:v>0</x:v>
      </x:c>
      <x:c r="T55" s="30" t="n">
        <x:v>0</x:v>
      </x:c>
      <x:c r="U55" s="30" t="n">
        <x:v>1</x:v>
      </x:c>
      <x:c r="V55" s="30" t="str">
        <x:v>1620</x:v>
      </x:c>
    </x:row>
    <x:row r="56">
      <x:c r="A56" s="29" t="str">
        <x:v>10000200</x:v>
      </x:c>
      <x:c r="B56" s="30" t="str">
        <x:v>LR-037 HARRIS</x:v>
      </x:c>
      <x:c r="C56" s="30" t="str">
        <x:v>Available</x:v>
      </x:c>
      <x:c r="D56" s="30" t="str">
        <x:v>LINEAR RIFLE - LR-037 HARRIS (Right)</x:v>
      </x:c>
      <x:c r="E56" s="30" t="n">
        <x:v>1</x:v>
      </x:c>
      <x:c r="F56" s="30" t="n">
        <x:v>4840</x:v>
      </x:c>
      <x:c r="G56" s="30" t="n">
        <x:v>441</x:v>
      </x:c>
      <x:c r="H56" s="30" t="n">
        <x:v>0</x:v>
      </x:c>
      <x:c r="I56" s="30" t="n">
        <x:v>0</x:v>
      </x:c>
      <x:c r="J56" s="30" t="n">
        <x:v>0</x:v>
      </x:c>
      <x:c r="K56" s="30" t="n">
        <x:v>0</x:v>
      </x:c>
      <x:c r="L56" s="30" t="n">
        <x:v>0</x:v>
      </x:c>
      <x:c r="M56" s="30" t="n">
        <x:v>0</x:v>
      </x:c>
      <x:c r="N56" s="30" t="n">
        <x:v>0</x:v>
      </x:c>
      <x:c r="O56" s="30" t="n">
        <x:v>360</x:v>
      </x:c>
      <x:c r="P56" s="30" t="n">
        <x:v>3</x:v>
      </x:c>
      <x:c r="Q56" s="30" t="n">
        <x:v>0</x:v>
      </x:c>
      <x:c r="R56" s="30" t="n">
        <x:v>0</x:v>
      </x:c>
      <x:c r="S56" s="30" t="n">
        <x:v>0</x:v>
      </x:c>
      <x:c r="T56" s="30" t="n">
        <x:v>0</x:v>
      </x:c>
      <x:c r="U56" s="30" t="n">
        <x:v>1</x:v>
      </x:c>
      <x:c r="V56" s="30" t="str">
        <x:v>1630</x:v>
      </x:c>
    </x:row>
    <x:row r="57">
      <x:c r="A57" s="29" t="str">
        <x:v>10010000</x:v>
      </x:c>
      <x:c r="B57" s="30" t="str">
        <x:v>MA-J-201 RANSETSU-AR</x:v>
      </x:c>
      <x:c r="C57" s="30" t="str">
        <x:v>Available</x:v>
      </x:c>
      <x:c r="D57" s="30" t="str">
        <x:v>BURST ASSAULT RIFLE - MA-J-201 RANSETSU-AR (Right)</x:v>
      </x:c>
      <x:c r="E57" s="30" t="n">
        <x:v>1</x:v>
      </x:c>
      <x:c r="F57" s="30" t="n">
        <x:v>3620</x:v>
      </x:c>
      <x:c r="G57" s="30" t="n">
        <x:v>132</x:v>
      </x:c>
      <x:c r="H57" s="30" t="n">
        <x:v>0</x:v>
      </x:c>
      <x:c r="I57" s="30" t="n">
        <x:v>0</x:v>
      </x:c>
      <x:c r="J57" s="30" t="n">
        <x:v>0</x:v>
      </x:c>
      <x:c r="K57" s="30" t="n">
        <x:v>0</x:v>
      </x:c>
      <x:c r="L57" s="30" t="n">
        <x:v>0</x:v>
      </x:c>
      <x:c r="M57" s="30" t="n">
        <x:v>0</x:v>
      </x:c>
      <x:c r="N57" s="30" t="n">
        <x:v>0</x:v>
      </x:c>
      <x:c r="O57" s="30" t="n">
        <x:v>450</x:v>
      </x:c>
      <x:c r="P57" s="30" t="n">
        <x:v>1.9</x:v>
      </x:c>
      <x:c r="Q57" s="30" t="n">
        <x:v>0</x:v>
      </x:c>
      <x:c r="R57" s="30" t="n">
        <x:v>0</x:v>
      </x:c>
      <x:c r="S57" s="30" t="n">
        <x:v>0</x:v>
      </x:c>
      <x:c r="T57" s="30" t="n">
        <x:v>0</x:v>
      </x:c>
      <x:c r="U57" s="30" t="n">
        <x:v>1</x:v>
      </x:c>
      <x:c r="V57" s="30" t="str">
        <x:v>1710</x:v>
      </x:c>
    </x:row>
    <x:row r="58">
      <x:c r="A58" s="29" t="str">
        <x:v>10010100</x:v>
      </x:c>
      <x:c r="B58" s="30" t="str">
        <x:v>RF-024 TURNER</x:v>
      </x:c>
      <x:c r="C58" s="30" t="str">
        <x:v>Available</x:v>
      </x:c>
      <x:c r="D58" s="30" t="str">
        <x:v>ASSAULT RIFLE - RF-024 TURNER (Right)</x:v>
      </x:c>
      <x:c r="E58" s="30" t="n">
        <x:v>1</x:v>
      </x:c>
      <x:c r="F58" s="30" t="n">
        <x:v>3560</x:v>
      </x:c>
      <x:c r="G58" s="30" t="n">
        <x:v>102</x:v>
      </x:c>
      <x:c r="H58" s="30" t="n">
        <x:v>0</x:v>
      </x:c>
      <x:c r="I58" s="30" t="n">
        <x:v>0</x:v>
      </x:c>
      <x:c r="J58" s="30" t="n">
        <x:v>0</x:v>
      </x:c>
      <x:c r="K58" s="30" t="n">
        <x:v>0</x:v>
      </x:c>
      <x:c r="L58" s="30" t="n">
        <x:v>0</x:v>
      </x:c>
      <x:c r="M58" s="30" t="n">
        <x:v>0</x:v>
      </x:c>
      <x:c r="N58" s="30" t="n">
        <x:v>0</x:v>
      </x:c>
      <x:c r="O58" s="30" t="n">
        <x:v>540</x:v>
      </x:c>
      <x:c r="P58" s="30" t="n">
        <x:v>2.2</x:v>
      </x:c>
      <x:c r="Q58" s="30" t="n">
        <x:v>0</x:v>
      </x:c>
      <x:c r="R58" s="30" t="n">
        <x:v>0</x:v>
      </x:c>
      <x:c r="S58" s="30" t="n">
        <x:v>0</x:v>
      </x:c>
      <x:c r="T58" s="30" t="n">
        <x:v>0</x:v>
      </x:c>
      <x:c r="U58" s="30" t="n">
        <x:v>1</x:v>
      </x:c>
      <x:c r="V58" s="30" t="str">
        <x:v>1720</x:v>
      </x:c>
    </x:row>
    <x:row r="59">
      <x:c r="A59" s="29" t="str">
        <x:v>10010200</x:v>
      </x:c>
      <x:c r="B59" s="30" t="str">
        <x:v>RF-025 SCUDDER</x:v>
      </x:c>
      <x:c r="C59" s="30" t="str">
        <x:v>Available</x:v>
      </x:c>
      <x:c r="D59" s="30" t="str">
        <x:v>ASSAULT RIFLE - RF-025 SCUDDER (Right)</x:v>
      </x:c>
      <x:c r="E59" s="30" t="n">
        <x:v>1</x:v>
      </x:c>
      <x:c r="F59" s="30" t="n">
        <x:v>3830</x:v>
      </x:c>
      <x:c r="G59" s="30" t="n">
        <x:v>153</x:v>
      </x:c>
      <x:c r="H59" s="30" t="n">
        <x:v>0</x:v>
      </x:c>
      <x:c r="I59" s="30" t="n">
        <x:v>0</x:v>
      </x:c>
      <x:c r="J59" s="30" t="n">
        <x:v>0</x:v>
      </x:c>
      <x:c r="K59" s="30" t="n">
        <x:v>0</x:v>
      </x:c>
      <x:c r="L59" s="30" t="n">
        <x:v>0</x:v>
      </x:c>
      <x:c r="M59" s="30" t="n">
        <x:v>0</x:v>
      </x:c>
      <x:c r="N59" s="30" t="n">
        <x:v>0</x:v>
      </x:c>
      <x:c r="O59" s="30" t="n">
        <x:v>450</x:v>
      </x:c>
      <x:c r="P59" s="30" t="n">
        <x:v>2.4</x:v>
      </x:c>
      <x:c r="Q59" s="30" t="n">
        <x:v>0</x:v>
      </x:c>
      <x:c r="R59" s="30" t="n">
        <x:v>0</x:v>
      </x:c>
      <x:c r="S59" s="30" t="n">
        <x:v>0</x:v>
      </x:c>
      <x:c r="T59" s="30" t="n">
        <x:v>0</x:v>
      </x:c>
      <x:c r="U59" s="30" t="n">
        <x:v>1</x:v>
      </x:c>
      <x:c r="V59" s="30" t="str">
        <x:v>1730</x:v>
      </x:c>
    </x:row>
    <x:row r="60">
      <x:c r="A60" s="29" t="str">
        <x:v>10020000</x:v>
      </x:c>
      <x:c r="B60" s="30" t="str">
        <x:v>MA-E-210 ETSUJIN</x:v>
      </x:c>
      <x:c r="C60" s="30" t="str">
        <x:v>Available</x:v>
      </x:c>
      <x:c r="D60" s="30" t="str">
        <x:v>BURST MACHINE GUN - MA-E-210 ETSUJIN (Right)</x:v>
      </x:c>
      <x:c r="E60" s="30" t="n">
        <x:v>1</x:v>
      </x:c>
      <x:c r="F60" s="30" t="n">
        <x:v>2810</x:v>
      </x:c>
      <x:c r="G60" s="30" t="n">
        <x:v>98</x:v>
      </x:c>
      <x:c r="H60" s="30" t="n">
        <x:v>0</x:v>
      </x:c>
      <x:c r="I60" s="30" t="n">
        <x:v>0</x:v>
      </x:c>
      <x:c r="J60" s="30" t="n">
        <x:v>0</x:v>
      </x:c>
      <x:c r="K60" s="30" t="n">
        <x:v>0</x:v>
      </x:c>
      <x:c r="L60" s="30" t="n">
        <x:v>0</x:v>
      </x:c>
      <x:c r="M60" s="30" t="n">
        <x:v>0</x:v>
      </x:c>
      <x:c r="N60" s="30" t="n">
        <x:v>0</x:v>
      </x:c>
      <x:c r="O60" s="30" t="n">
        <x:v>700</x:v>
      </x:c>
      <x:c r="P60" s="30" t="n">
        <x:v>1.5</x:v>
      </x:c>
      <x:c r="Q60" s="30" t="n">
        <x:v>0</x:v>
      </x:c>
      <x:c r="R60" s="30" t="n">
        <x:v>0</x:v>
      </x:c>
      <x:c r="S60" s="30" t="n">
        <x:v>0</x:v>
      </x:c>
      <x:c r="T60" s="30" t="n">
        <x:v>0</x:v>
      </x:c>
      <x:c r="U60" s="30" t="n">
        <x:v>1</x:v>
      </x:c>
      <x:c r="V60" s="30" t="str">
        <x:v>1810</x:v>
      </x:c>
    </x:row>
    <x:row r="61">
      <x:c r="A61" s="29" t="str">
        <x:v>10020100</x:v>
      </x:c>
      <x:c r="B61" s="30" t="str">
        <x:v>MG-014 LUDLOW</x:v>
      </x:c>
      <x:c r="C61" s="30" t="str">
        <x:v>Available</x:v>
      </x:c>
      <x:c r="D61" s="30" t="str">
        <x:v>MACHINE GUN - MG-014 LUDLOW (Right)</x:v>
      </x:c>
      <x:c r="E61" s="30" t="n">
        <x:v>1</x:v>
      </x:c>
      <x:c r="F61" s="30" t="n">
        <x:v>2350</x:v>
      </x:c>
      <x:c r="G61" s="30" t="n">
        <x:v>82</x:v>
      </x:c>
      <x:c r="H61" s="30" t="n">
        <x:v>0</x:v>
      </x:c>
      <x:c r="I61" s="30" t="n">
        <x:v>0</x:v>
      </x:c>
      <x:c r="J61" s="30" t="n">
        <x:v>0</x:v>
      </x:c>
      <x:c r="K61" s="30" t="n">
        <x:v>0</x:v>
      </x:c>
      <x:c r="L61" s="30" t="n">
        <x:v>0</x:v>
      </x:c>
      <x:c r="M61" s="30" t="n">
        <x:v>0</x:v>
      </x:c>
      <x:c r="N61" s="30" t="n">
        <x:v>0</x:v>
      </x:c>
      <x:c r="O61" s="30" t="n">
        <x:v>720</x:v>
      </x:c>
      <x:c r="P61" s="30" t="n">
        <x:v>1.5</x:v>
      </x:c>
      <x:c r="Q61" s="30" t="n">
        <x:v>0</x:v>
      </x:c>
      <x:c r="R61" s="30" t="n">
        <x:v>0</x:v>
      </x:c>
      <x:c r="S61" s="30" t="n">
        <x:v>0</x:v>
      </x:c>
      <x:c r="T61" s="30" t="n">
        <x:v>0</x:v>
      </x:c>
      <x:c r="U61" s="30" t="n">
        <x:v>1</x:v>
      </x:c>
      <x:c r="V61" s="30" t="str">
        <x:v>1820</x:v>
      </x:c>
    </x:row>
    <x:row r="62">
      <x:c r="A62" s="29" t="str">
        <x:v>10020200</x:v>
      </x:c>
      <x:c r="B62" s="30" t="str">
        <x:v>DF-MG-02 CHANG-CHEN</x:v>
      </x:c>
      <x:c r="C62" s="30" t="str">
        <x:v>Available</x:v>
      </x:c>
      <x:c r="D62" s="30" t="str">
        <x:v>MACHINE GUN - DF-MG-02 CHANG-CHEN (Right)</x:v>
      </x:c>
      <x:c r="E62" s="30" t="n">
        <x:v>1</x:v>
      </x:c>
      <x:c r="F62" s="30" t="n">
        <x:v>3280</x:v>
      </x:c>
      <x:c r="G62" s="30" t="n">
        <x:v>143</x:v>
      </x:c>
      <x:c r="H62" s="30" t="n">
        <x:v>0</x:v>
      </x:c>
      <x:c r="I62" s="30" t="n">
        <x:v>0</x:v>
      </x:c>
      <x:c r="J62" s="30" t="n">
        <x:v>0</x:v>
      </x:c>
      <x:c r="K62" s="30" t="n">
        <x:v>0</x:v>
      </x:c>
      <x:c r="L62" s="30" t="n">
        <x:v>0</x:v>
      </x:c>
      <x:c r="M62" s="30" t="n">
        <x:v>0</x:v>
      </x:c>
      <x:c r="N62" s="30" t="n">
        <x:v>0</x:v>
      </x:c>
      <x:c r="O62" s="30" t="n">
        <x:v>990</x:v>
      </x:c>
      <x:c r="P62" s="30" t="n">
        <x:v>2.2</x:v>
      </x:c>
      <x:c r="Q62" s="30" t="n">
        <x:v>0</x:v>
      </x:c>
      <x:c r="R62" s="30" t="n">
        <x:v>0</x:v>
      </x:c>
      <x:c r="S62" s="30" t="n">
        <x:v>0</x:v>
      </x:c>
      <x:c r="T62" s="30" t="n">
        <x:v>0</x:v>
      </x:c>
      <x:c r="U62" s="30" t="n">
        <x:v>1</x:v>
      </x:c>
      <x:c r="V62" s="30" t="str">
        <x:v>1830</x:v>
      </x:c>
    </x:row>
    <x:row r="63">
      <x:c r="A63" s="29" t="str">
        <x:v>10020300</x:v>
      </x:c>
      <x:c r="B63" s="30" t="str">
        <x:v>WR-0555 ATTACHE</x:v>
      </x:c>
      <x:c r="C63" s="30" t="str">
        <x:v>Available</x:v>
      </x:c>
      <x:c r="D63" s="30" t="str">
        <x:v>HEAVY MACHINE GUN - WR-0555 ATTACHE (Right)</x:v>
      </x:c>
      <x:c r="E63" s="30" t="n">
        <x:v>1</x:v>
      </x:c>
      <x:c r="F63" s="30" t="n">
        <x:v>5110</x:v>
      </x:c>
      <x:c r="G63" s="30" t="n">
        <x:v>303</x:v>
      </x:c>
      <x:c r="H63" s="30" t="n">
        <x:v>0</x:v>
      </x:c>
      <x:c r="I63" s="30" t="n">
        <x:v>0</x:v>
      </x:c>
      <x:c r="J63" s="30" t="n">
        <x:v>0</x:v>
      </x:c>
      <x:c r="K63" s="30" t="n">
        <x:v>0</x:v>
      </x:c>
      <x:c r="L63" s="30" t="n">
        <x:v>0</x:v>
      </x:c>
      <x:c r="M63" s="30" t="n">
        <x:v>0</x:v>
      </x:c>
      <x:c r="N63" s="30" t="n">
        <x:v>0</x:v>
      </x:c>
      <x:c r="O63" s="30" t="n">
        <x:v>920</x:v>
      </x:c>
      <x:c r="P63" s="30" t="n">
        <x:v>2.1</x:v>
      </x:c>
      <x:c r="Q63" s="30" t="n">
        <x:v>0</x:v>
      </x:c>
      <x:c r="R63" s="30" t="n">
        <x:v>0</x:v>
      </x:c>
      <x:c r="S63" s="30" t="n">
        <x:v>0</x:v>
      </x:c>
      <x:c r="T63" s="30" t="n">
        <x:v>0</x:v>
      </x:c>
      <x:c r="U63" s="30" t="n">
        <x:v>1</x:v>
      </x:c>
      <x:c r="V63" s="30" t="str">
        <x:v>1840</x:v>
      </x:c>
    </x:row>
    <x:row r="64">
      <x:c r="A64" s="29" t="str">
        <x:v>10030000</x:v>
      </x:c>
      <x:c r="B64" s="30" t="str">
        <x:v>DF-GA-08 HU-BEN</x:v>
      </x:c>
      <x:c r="C64" s="30" t="str">
        <x:v>Available</x:v>
      </x:c>
      <x:c r="D64" s="30" t="str">
        <x:v>GATLING GUN - DF-GA-08 HU-BEN (Right)</x:v>
      </x:c>
      <x:c r="E64" s="30" t="n">
        <x:v>1</x:v>
      </x:c>
      <x:c r="F64" s="30" t="n">
        <x:v>5800</x:v>
      </x:c>
      <x:c r="G64" s="30" t="n">
        <x:v>425</x:v>
      </x:c>
      <x:c r="H64" s="30" t="n">
        <x:v>0</x:v>
      </x:c>
      <x:c r="I64" s="30" t="n">
        <x:v>0</x:v>
      </x:c>
      <x:c r="J64" s="30" t="n">
        <x:v>0</x:v>
      </x:c>
      <x:c r="K64" s="30" t="n">
        <x:v>0</x:v>
      </x:c>
      <x:c r="L64" s="30" t="n">
        <x:v>0</x:v>
      </x:c>
      <x:c r="M64" s="30" t="n">
        <x:v>0</x:v>
      </x:c>
      <x:c r="N64" s="30" t="n">
        <x:v>0</x:v>
      </x:c>
      <x:c r="O64" s="30" t="n">
        <x:v>1300</x:v>
      </x:c>
      <x:c r="P64" s="30" t="n">
        <x:v>0</x:v>
      </x:c>
      <x:c r="Q64" s="30" t="n">
        <x:v>0</x:v>
      </x:c>
      <x:c r="R64" s="30" t="n">
        <x:v>0</x:v>
      </x:c>
      <x:c r="S64" s="30" t="n">
        <x:v>0</x:v>
      </x:c>
      <x:c r="T64" s="30" t="n">
        <x:v>0</x:v>
      </x:c>
      <x:c r="U64" s="30" t="n">
        <x:v>1</x:v>
      </x:c>
      <x:c r="V64" s="30" t="str">
        <x:v>1910</x:v>
      </x:c>
    </x:row>
    <x:row r="65">
      <x:c r="A65" s="29" t="str">
        <x:v>10040000</x:v>
      </x:c>
      <x:c r="B65" s="30" t="str">
        <x:v>LITTLE GEM</x:v>
      </x:c>
      <x:c r="C65" s="30" t="str">
        <x:v>Available</x:v>
      </x:c>
      <x:c r="D65" s="30" t="str">
        <x:v>BAZOOKA - LITTLE GEM (Right)</x:v>
      </x:c>
      <x:c r="E65" s="30" t="n">
        <x:v>1</x:v>
      </x:c>
      <x:c r="F65" s="30" t="n">
        <x:v>2940</x:v>
      </x:c>
      <x:c r="G65" s="30" t="n">
        <x:v>169</x:v>
      </x:c>
      <x:c r="H65" s="30" t="n">
        <x:v>4</x:v>
      </x:c>
      <x:c r="I65" s="30" t="n">
        <x:v>4</x:v>
      </x:c>
      <x:c r="J65" s="30" t="n">
        <x:v>4</x:v>
      </x:c>
      <x:c r="K65" s="30" t="n">
        <x:v>4</x:v>
      </x:c>
      <x:c r="L65" s="30" t="n">
        <x:v>4</x:v>
      </x:c>
      <x:c r="M65" s="30" t="n">
        <x:v>4</x:v>
      </x:c>
      <x:c r="N65" s="30" t="n">
        <x:v>1</x:v>
      </x:c>
      <x:c r="O65" s="30" t="n">
        <x:v>36</x:v>
      </x:c>
      <x:c r="P65" s="30" t="n">
        <x:v>4.4</x:v>
      </x:c>
      <x:c r="Q65" s="30" t="n">
        <x:v>0</x:v>
      </x:c>
      <x:c r="R65" s="30" t="n">
        <x:v>0</x:v>
      </x:c>
      <x:c r="S65" s="30" t="n">
        <x:v>0</x:v>
      </x:c>
      <x:c r="T65" s="30" t="n">
        <x:v>0</x:v>
      </x:c>
      <x:c r="U65" s="30" t="n">
        <x:v>1</x:v>
      </x:c>
      <x:c r="V65" s="30" t="str">
        <x:v>1410</x:v>
      </x:c>
    </x:row>
    <x:row r="66">
      <x:c r="A66" s="29" t="str">
        <x:v>10040100</x:v>
      </x:c>
      <x:c r="B66" s="30" t="str">
        <x:v>MAJESTIC</x:v>
      </x:c>
      <x:c r="C66" s="30" t="str">
        <x:v>Available</x:v>
      </x:c>
      <x:c r="D66" s="30" t="str">
        <x:v>BAZOOKA - MAJESTIC (Right)</x:v>
      </x:c>
      <x:c r="E66" s="30" t="n">
        <x:v>1</x:v>
      </x:c>
      <x:c r="F66" s="30" t="n">
        <x:v>4660</x:v>
      </x:c>
      <x:c r="G66" s="30" t="n">
        <x:v>178</x:v>
      </x:c>
      <x:c r="H66" s="30" t="n">
        <x:v>4</x:v>
      </x:c>
      <x:c r="I66" s="30" t="n">
        <x:v>4</x:v>
      </x:c>
      <x:c r="J66" s="30" t="n">
        <x:v>4</x:v>
      </x:c>
      <x:c r="K66" s="30" t="n">
        <x:v>4</x:v>
      </x:c>
      <x:c r="L66" s="30" t="n">
        <x:v>4</x:v>
      </x:c>
      <x:c r="M66" s="30" t="n">
        <x:v>4</x:v>
      </x:c>
      <x:c r="N66" s="30" t="n">
        <x:v>1</x:v>
      </x:c>
      <x:c r="O66" s="30" t="n">
        <x:v>52</x:v>
      </x:c>
      <x:c r="P66" s="30" t="n">
        <x:v>4.2</x:v>
      </x:c>
      <x:c r="Q66" s="30" t="n">
        <x:v>0</x:v>
      </x:c>
      <x:c r="R66" s="30" t="n">
        <x:v>0</x:v>
      </x:c>
      <x:c r="S66" s="30" t="n">
        <x:v>0</x:v>
      </x:c>
      <x:c r="T66" s="30" t="n">
        <x:v>0</x:v>
      </x:c>
      <x:c r="U66" s="30" t="n">
        <x:v>1</x:v>
      </x:c>
      <x:c r="V66" s="30" t="str">
        <x:v>1420</x:v>
      </x:c>
    </x:row>
    <x:row r="67">
      <x:c r="A67" s="29" t="str">
        <x:v>10040200</x:v>
      </x:c>
      <x:c r="B67" s="30" t="str">
        <x:v>DF-BA-06 XUAN-GE</x:v>
      </x:c>
      <x:c r="C67" s="30" t="str">
        <x:v>Available</x:v>
      </x:c>
      <x:c r="D67" s="30" t="str">
        <x:v>BAZOOKA - DF-BA-06 XUAN-GE (Right)</x:v>
      </x:c>
      <x:c r="E67" s="30" t="n">
        <x:v>1</x:v>
      </x:c>
      <x:c r="F67" s="30" t="n">
        <x:v>5480</x:v>
      </x:c>
      <x:c r="G67" s="30" t="n">
        <x:v>240</x:v>
      </x:c>
      <x:c r="H67" s="30" t="n">
        <x:v>4</x:v>
      </x:c>
      <x:c r="I67" s="30" t="n">
        <x:v>4</x:v>
      </x:c>
      <x:c r="J67" s="30" t="n">
        <x:v>4</x:v>
      </x:c>
      <x:c r="K67" s="30" t="n">
        <x:v>4</x:v>
      </x:c>
      <x:c r="L67" s="30" t="n">
        <x:v>4</x:v>
      </x:c>
      <x:c r="M67" s="30" t="n">
        <x:v>4</x:v>
      </x:c>
      <x:c r="N67" s="30" t="n">
        <x:v>1</x:v>
      </x:c>
      <x:c r="O67" s="30" t="n">
        <x:v>78</x:v>
      </x:c>
      <x:c r="P67" s="30" t="n">
        <x:v>3.4</x:v>
      </x:c>
      <x:c r="Q67" s="30" t="n">
        <x:v>0</x:v>
      </x:c>
      <x:c r="R67" s="30" t="n">
        <x:v>0</x:v>
      </x:c>
      <x:c r="S67" s="30" t="n">
        <x:v>0</x:v>
      </x:c>
      <x:c r="T67" s="30" t="n">
        <x:v>0</x:v>
      </x:c>
      <x:c r="U67" s="30" t="n">
        <x:v>1</x:v>
      </x:c>
      <x:c r="V67" s="30" t="str">
        <x:v>1430</x:v>
      </x:c>
    </x:row>
    <x:row r="68">
      <x:c r="A68" s="29" t="str">
        <x:v>10050000</x:v>
      </x:c>
      <x:c r="B68" s="30" t="str">
        <x:v>WR-0777 SWEET SIXTEEN</x:v>
      </x:c>
      <x:c r="C68" s="30" t="str">
        <x:v>Available</x:v>
      </x:c>
      <x:c r="D68" s="30" t="str">
        <x:v>SHOTGUN - WR-0777 SWEET SIXTEEN (Right)</x:v>
      </x:c>
      <x:c r="E68" s="30" t="n">
        <x:v>1</x:v>
      </x:c>
      <x:c r="F68" s="30" t="n">
        <x:v>1640</x:v>
      </x:c>
      <x:c r="G68" s="30" t="n">
        <x:v>268</x:v>
      </x:c>
      <x:c r="H68" s="30" t="n">
        <x:v>0</x:v>
      </x:c>
      <x:c r="I68" s="30" t="n">
        <x:v>0</x:v>
      </x:c>
      <x:c r="J68" s="30" t="n">
        <x:v>0</x:v>
      </x:c>
      <x:c r="K68" s="30" t="n">
        <x:v>0</x:v>
      </x:c>
      <x:c r="L68" s="30" t="n">
        <x:v>0</x:v>
      </x:c>
      <x:c r="M68" s="30" t="n">
        <x:v>0</x:v>
      </x:c>
      <x:c r="N68" s="30" t="n">
        <x:v>0</x:v>
      </x:c>
      <x:c r="O68" s="30" t="n">
        <x:v>546</x:v>
      </x:c>
      <x:c r="P68" s="30" t="n">
        <x:v>3</x:v>
      </x:c>
      <x:c r="Q68" s="30" t="n">
        <x:v>0</x:v>
      </x:c>
      <x:c r="R68" s="30" t="n">
        <x:v>0</x:v>
      </x:c>
      <x:c r="S68" s="30" t="n">
        <x:v>0</x:v>
      </x:c>
      <x:c r="T68" s="30" t="n">
        <x:v>0</x:v>
      </x:c>
      <x:c r="U68" s="30" t="n">
        <x:v>1</x:v>
      </x:c>
      <x:c r="V68" s="30" t="str">
        <x:v>1510</x:v>
      </x:c>
    </x:row>
    <x:row r="69">
      <x:c r="A69" s="29" t="str">
        <x:v>10050100</x:v>
      </x:c>
      <x:c r="B69" s="30" t="str">
        <x:v>SG-026 HALDEMAN</x:v>
      </x:c>
      <x:c r="C69" s="30" t="str">
        <x:v>Available</x:v>
      </x:c>
      <x:c r="D69" s="30" t="str">
        <x:v>SHOTGUN - SG-026 HALDEMAN (Right)</x:v>
      </x:c>
      <x:c r="E69" s="30" t="n">
        <x:v>1</x:v>
      </x:c>
      <x:c r="F69" s="30" t="n">
        <x:v>3660</x:v>
      </x:c>
      <x:c r="G69" s="30" t="n">
        <x:v>185</x:v>
      </x:c>
      <x:c r="H69" s="30" t="n">
        <x:v>0</x:v>
      </x:c>
      <x:c r="I69" s="30" t="n">
        <x:v>0</x:v>
      </x:c>
      <x:c r="J69" s="30" t="n">
        <x:v>0</x:v>
      </x:c>
      <x:c r="K69" s="30" t="n">
        <x:v>0</x:v>
      </x:c>
      <x:c r="L69" s="30" t="n">
        <x:v>0</x:v>
      </x:c>
      <x:c r="M69" s="30" t="n">
        <x:v>0</x:v>
      </x:c>
      <x:c r="N69" s="30" t="n">
        <x:v>0</x:v>
      </x:c>
      <x:c r="O69" s="30" t="n">
        <x:v>66</x:v>
      </x:c>
      <x:c r="P69" s="30" t="n">
        <x:v>1.3</x:v>
      </x:c>
      <x:c r="Q69" s="30" t="n">
        <x:v>0</x:v>
      </x:c>
      <x:c r="R69" s="30" t="n">
        <x:v>0</x:v>
      </x:c>
      <x:c r="S69" s="30" t="n">
        <x:v>0</x:v>
      </x:c>
      <x:c r="T69" s="30" t="n">
        <x:v>0</x:v>
      </x:c>
      <x:c r="U69" s="30" t="n">
        <x:v>1</x:v>
      </x:c>
      <x:c r="V69" s="30" t="str">
        <x:v>1520</x:v>
      </x:c>
    </x:row>
    <x:row r="70">
      <x:c r="A70" s="29" t="str">
        <x:v>10050200</x:v>
      </x:c>
      <x:c r="B70" s="30" t="str">
        <x:v>SG-027 ZIMMERMAN</x:v>
      </x:c>
      <x:c r="C70" s="30" t="str">
        <x:v>Available</x:v>
      </x:c>
      <x:c r="D70" s="30" t="str">
        <x:v>SHOTGUN - SG-027 ZIMMERMAN (Right)</x:v>
      </x:c>
      <x:c r="E70" s="30" t="n">
        <x:v>1</x:v>
      </x:c>
      <x:c r="F70" s="30" t="n">
        <x:v>4400</x:v>
      </x:c>
      <x:c r="G70" s="30" t="n">
        <x:v>242</x:v>
      </x:c>
      <x:c r="H70" s="30" t="n">
        <x:v>0</x:v>
      </x:c>
      <x:c r="I70" s="30" t="n">
        <x:v>0</x:v>
      </x:c>
      <x:c r="J70" s="30" t="n">
        <x:v>0</x:v>
      </x:c>
      <x:c r="K70" s="30" t="n">
        <x:v>0</x:v>
      </x:c>
      <x:c r="L70" s="30" t="n">
        <x:v>0</x:v>
      </x:c>
      <x:c r="M70" s="30" t="n">
        <x:v>0</x:v>
      </x:c>
      <x:c r="N70" s="30" t="n">
        <x:v>0</x:v>
      </x:c>
      <x:c r="O70" s="30" t="n">
        <x:v>53</x:v>
      </x:c>
      <x:c r="P70" s="30" t="n">
        <x:v>2</x:v>
      </x:c>
      <x:c r="Q70" s="30" t="n">
        <x:v>0</x:v>
      </x:c>
      <x:c r="R70" s="30" t="n">
        <x:v>0</x:v>
      </x:c>
      <x:c r="S70" s="30" t="n">
        <x:v>0</x:v>
      </x:c>
      <x:c r="T70" s="30" t="n">
        <x:v>0</x:v>
      </x:c>
      <x:c r="U70" s="30" t="n">
        <x:v>1</x:v>
      </x:c>
      <x:c r="V70" s="30" t="str">
        <x:v>1530</x:v>
      </x:c>
    </x:row>
    <x:row r="71">
      <x:c r="A71" s="29" t="str">
        <x:v>10060000</x:v>
      </x:c>
      <x:c r="B71" s="30" t="str">
        <x:v>DF-GR-07 GOU-CHEN</x:v>
      </x:c>
      <x:c r="C71" s="30" t="str">
        <x:v>Available</x:v>
      </x:c>
      <x:c r="D71" s="30" t="str">
        <x:v>GRENADE LAUNCHER - DF-GR-07 GOU-CHEN (Right)</x:v>
      </x:c>
      <x:c r="E71" s="30" t="n">
        <x:v>1</x:v>
      </x:c>
      <x:c r="F71" s="30" t="n">
        <x:v>4841</x:v>
      </x:c>
      <x:c r="G71" s="30" t="n">
        <x:v>308</x:v>
      </x:c>
      <x:c r="H71" s="30" t="n">
        <x:v>0</x:v>
      </x:c>
      <x:c r="I71" s="30" t="n">
        <x:v>0</x:v>
      </x:c>
      <x:c r="J71" s="30" t="n">
        <x:v>0</x:v>
      </x:c>
      <x:c r="K71" s="30" t="n">
        <x:v>0</x:v>
      </x:c>
      <x:c r="L71" s="30" t="n">
        <x:v>0</x:v>
      </x:c>
      <x:c r="M71" s="30" t="n">
        <x:v>0</x:v>
      </x:c>
      <x:c r="N71" s="30" t="n">
        <x:v>0</x:v>
      </x:c>
      <x:c r="O71" s="30" t="n">
        <x:v>40</x:v>
      </x:c>
      <x:c r="P71" s="30" t="n">
        <x:v>5.9</x:v>
      </x:c>
      <x:c r="Q71" s="30" t="n">
        <x:v>0</x:v>
      </x:c>
      <x:c r="R71" s="30" t="n">
        <x:v>0</x:v>
      </x:c>
      <x:c r="S71" s="30" t="n">
        <x:v>0</x:v>
      </x:c>
      <x:c r="T71" s="30" t="n">
        <x:v>0</x:v>
      </x:c>
      <x:c r="U71" s="30" t="n">
        <x:v>1</x:v>
      </x:c>
      <x:c r="V71" s="30" t="str">
        <x:v>1310</x:v>
      </x:c>
    </x:row>
    <x:row r="72">
      <x:c r="A72" s="29" t="str">
        <x:v>10060100</x:v>
      </x:c>
      <x:c r="B72" s="30" t="str">
        <x:v>DIZZY</x:v>
      </x:c>
      <x:c r="C72" s="30" t="str">
        <x:v>Available</x:v>
      </x:c>
      <x:c r="D72" s="30" t="str">
        <x:v>GRENADE LAUNCHER - DIZZY (Right)</x:v>
      </x:c>
      <x:c r="E72" s="30" t="n">
        <x:v>1</x:v>
      </x:c>
      <x:c r="F72" s="30" t="n">
        <x:v>5590</x:v>
      </x:c>
      <x:c r="G72" s="30" t="n">
        <x:v>364</x:v>
      </x:c>
      <x:c r="H72" s="30" t="n">
        <x:v>0</x:v>
      </x:c>
      <x:c r="I72" s="30" t="n">
        <x:v>0</x:v>
      </x:c>
      <x:c r="J72" s="30" t="n">
        <x:v>0</x:v>
      </x:c>
      <x:c r="K72" s="30" t="n">
        <x:v>0</x:v>
      </x:c>
      <x:c r="L72" s="30" t="n">
        <x:v>0</x:v>
      </x:c>
      <x:c r="M72" s="30" t="n">
        <x:v>0</x:v>
      </x:c>
      <x:c r="N72" s="30" t="n">
        <x:v>0</x:v>
      </x:c>
      <x:c r="O72" s="30" t="n">
        <x:v>38</x:v>
      </x:c>
      <x:c r="P72" s="30" t="n">
        <x:v>5.6</x:v>
      </x:c>
      <x:c r="Q72" s="30" t="n">
        <x:v>0</x:v>
      </x:c>
      <x:c r="R72" s="30" t="n">
        <x:v>0</x:v>
      </x:c>
      <x:c r="S72" s="30" t="n">
        <x:v>0</x:v>
      </x:c>
      <x:c r="T72" s="30" t="n">
        <x:v>0</x:v>
      </x:c>
      <x:c r="U72" s="30" t="n">
        <x:v>1</x:v>
      </x:c>
      <x:c r="V72" s="30" t="str">
        <x:v>1320</x:v>
      </x:c>
    </x:row>
    <x:row r="73">
      <x:c r="A73" s="29" t="str">
        <x:v>10070000</x:v>
      </x:c>
      <x:c r="B73" s="30" t="str">
        <x:v>EL-PW-00 VIENTO</x:v>
      </x:c>
      <x:c r="C73" s="30" t="str">
        <x:v>Available</x:v>
      </x:c>
      <x:c r="D73" s="30" t="str">
        <x:v>NEEDLE GUN - EL-PW-00 VIENTO (Right)</x:v>
      </x:c>
      <x:c r="E73" s="30" t="n">
        <x:v>1</x:v>
      </x:c>
      <x:c r="F73" s="30" t="n">
        <x:v>1180</x:v>
      </x:c>
      <x:c r="G73" s="30" t="n">
        <x:v>215</x:v>
      </x:c>
      <x:c r="H73" s="30" t="n">
        <x:v>0</x:v>
      </x:c>
      <x:c r="I73" s="30" t="n">
        <x:v>0</x:v>
      </x:c>
      <x:c r="J73" s="30" t="n">
        <x:v>0</x:v>
      </x:c>
      <x:c r="K73" s="30" t="n">
        <x:v>0</x:v>
      </x:c>
      <x:c r="L73" s="30" t="n">
        <x:v>0</x:v>
      </x:c>
      <x:c r="M73" s="30" t="n">
        <x:v>0</x:v>
      </x:c>
      <x:c r="N73" s="30" t="n">
        <x:v>0</x:v>
      </x:c>
      <x:c r="O73" s="30" t="n">
        <x:v>160</x:v>
      </x:c>
      <x:c r="P73" s="30" t="n">
        <x:v>2.4</x:v>
      </x:c>
      <x:c r="Q73" s="30" t="n">
        <x:v>0</x:v>
      </x:c>
      <x:c r="R73" s="30" t="n">
        <x:v>0</x:v>
      </x:c>
      <x:c r="S73" s="30" t="n">
        <x:v>0</x:v>
      </x:c>
      <x:c r="T73" s="30" t="n">
        <x:v>0</x:v>
      </x:c>
      <x:c r="U73" s="30" t="n">
        <x:v>1</x:v>
      </x:c>
      <x:c r="V73" s="30" t="str">
        <x:v>2010</x:v>
      </x:c>
    </x:row>
    <x:row r="74">
      <x:c r="A74" s="29" t="str">
        <x:v>10070100</x:v>
      </x:c>
      <x:c r="B74" s="30" t="str">
        <x:v>MA-E-211 SAMPU</x:v>
      </x:c>
      <x:c r="C74" s="30" t="str">
        <x:v>Available</x:v>
      </x:c>
      <x:c r="D74" s="30" t="str">
        <x:v>BURST HANDGUN - MA-E-211 SAMPU (Right)</x:v>
      </x:c>
      <x:c r="E74" s="30" t="n">
        <x:v>1</x:v>
      </x:c>
      <x:c r="F74" s="30" t="n">
        <x:v>960</x:v>
      </x:c>
      <x:c r="G74" s="30" t="n">
        <x:v>62</x:v>
      </x:c>
      <x:c r="H74" s="30" t="n">
        <x:v>0</x:v>
      </x:c>
      <x:c r="I74" s="30" t="n">
        <x:v>0</x:v>
      </x:c>
      <x:c r="J74" s="30" t="n">
        <x:v>0</x:v>
      </x:c>
      <x:c r="K74" s="30" t="n">
        <x:v>0</x:v>
      </x:c>
      <x:c r="L74" s="30" t="n">
        <x:v>0</x:v>
      </x:c>
      <x:c r="M74" s="30" t="n">
        <x:v>0</x:v>
      </x:c>
      <x:c r="N74" s="30" t="n">
        <x:v>0</x:v>
      </x:c>
      <x:c r="O74" s="30" t="n">
        <x:v>350</x:v>
      </x:c>
      <x:c r="P74" s="30" t="n">
        <x:v>1.9</x:v>
      </x:c>
      <x:c r="Q74" s="30" t="n">
        <x:v>0</x:v>
      </x:c>
      <x:c r="R74" s="30" t="n">
        <x:v>0</x:v>
      </x:c>
      <x:c r="S74" s="30" t="n">
        <x:v>0</x:v>
      </x:c>
      <x:c r="T74" s="30" t="n">
        <x:v>0</x:v>
      </x:c>
      <x:c r="U74" s="30" t="n">
        <x:v>1</x:v>
      </x:c>
      <x:c r="V74" s="30" t="str">
        <x:v>2020</x:v>
      </x:c>
    </x:row>
    <x:row r="75">
      <x:c r="A75" s="29" t="str">
        <x:v>10070200</x:v>
      </x:c>
      <x:c r="B75" s="30" t="str">
        <x:v>HG-003 COQUILLETT</x:v>
      </x:c>
      <x:c r="C75" s="30" t="str">
        <x:v>Available</x:v>
      </x:c>
      <x:c r="D75" s="30" t="str">
        <x:v>HANDGUN - HG-003 COQUILLETT (Right)</x:v>
      </x:c>
      <x:c r="E75" s="30" t="n">
        <x:v>1</x:v>
      </x:c>
      <x:c r="F75" s="30" t="n">
        <x:v>1200</x:v>
      </x:c>
      <x:c r="G75" s="30" t="n">
        <x:v>122</x:v>
      </x:c>
      <x:c r="H75" s="30" t="n">
        <x:v>0</x:v>
      </x:c>
      <x:c r="I75" s="30" t="n">
        <x:v>0</x:v>
      </x:c>
      <x:c r="J75" s="30" t="n">
        <x:v>0</x:v>
      </x:c>
      <x:c r="K75" s="30" t="n">
        <x:v>0</x:v>
      </x:c>
      <x:c r="L75" s="30" t="n">
        <x:v>0</x:v>
      </x:c>
      <x:c r="M75" s="30" t="n">
        <x:v>0</x:v>
      </x:c>
      <x:c r="N75" s="30" t="n">
        <x:v>0</x:v>
      </x:c>
      <x:c r="O75" s="30" t="n">
        <x:v>196</x:v>
      </x:c>
      <x:c r="P75" s="30" t="n">
        <x:v>2.1</x:v>
      </x:c>
      <x:c r="Q75" s="30" t="n">
        <x:v>0</x:v>
      </x:c>
      <x:c r="R75" s="30" t="n">
        <x:v>0</x:v>
      </x:c>
      <x:c r="S75" s="30" t="n">
        <x:v>0</x:v>
      </x:c>
      <x:c r="T75" s="30" t="n">
        <x:v>0</x:v>
      </x:c>
      <x:c r="U75" s="30" t="n">
        <x:v>1</x:v>
      </x:c>
      <x:c r="V75" s="30" t="str">
        <x:v>2030</x:v>
      </x:c>
    </x:row>
    <x:row r="76">
      <x:c r="A76" s="29" t="str">
        <x:v>10070300</x:v>
      </x:c>
      <x:c r="B76" s="30" t="str">
        <x:v>HG-004 DUCKETT</x:v>
      </x:c>
      <x:c r="C76" s="30" t="str">
        <x:v>Available</x:v>
      </x:c>
      <x:c r="D76" s="30" t="str">
        <x:v>HANDGUN - HG-004 DUCKETT (Right)</x:v>
      </x:c>
      <x:c r="E76" s="30" t="n">
        <x:v>1</x:v>
      </x:c>
      <x:c r="F76" s="30" t="n">
        <x:v>1650</x:v>
      </x:c>
      <x:c r="G76" s="30" t="n">
        <x:v>158</x:v>
      </x:c>
      <x:c r="H76" s="30" t="n">
        <x:v>0</x:v>
      </x:c>
      <x:c r="I76" s="30" t="n">
        <x:v>0</x:v>
      </x:c>
      <x:c r="J76" s="30" t="n">
        <x:v>0</x:v>
      </x:c>
      <x:c r="K76" s="30" t="n">
        <x:v>0</x:v>
      </x:c>
      <x:c r="L76" s="30" t="n">
        <x:v>0</x:v>
      </x:c>
      <x:c r="M76" s="30" t="n">
        <x:v>0</x:v>
      </x:c>
      <x:c r="N76" s="30" t="n">
        <x:v>0</x:v>
      </x:c>
      <x:c r="O76" s="30" t="n">
        <x:v>208</x:v>
      </x:c>
      <x:c r="P76" s="30" t="n">
        <x:v>3</x:v>
      </x:c>
      <x:c r="Q76" s="30" t="n">
        <x:v>0</x:v>
      </x:c>
      <x:c r="R76" s="30" t="n">
        <x:v>0</x:v>
      </x:c>
      <x:c r="S76" s="30" t="n">
        <x:v>0</x:v>
      </x:c>
      <x:c r="T76" s="30" t="n">
        <x:v>0</x:v>
      </x:c>
      <x:c r="U76" s="30" t="n">
        <x:v>1</x:v>
      </x:c>
      <x:c r="V76" s="30" t="str">
        <x:v>2040</x:v>
      </x:c>
    </x:row>
    <x:row r="77">
      <x:c r="A77" s="29" t="str">
        <x:v>10080000</x:v>
      </x:c>
      <x:c r="B77" s="30" t="str">
        <x:v>MA-T-223 KYORIKU</x:v>
      </x:c>
      <x:c r="C77" s="30" t="str">
        <x:v>Available</x:v>
      </x:c>
      <x:c r="D77" s="30" t="str">
        <x:v>JAMMING BOMB LAUNCHER - MA-T-223 KYORIKU (Right)</x:v>
      </x:c>
      <x:c r="E77" s="30" t="n">
        <x:v>1</x:v>
      </x:c>
      <x:c r="F77" s="30" t="n">
        <x:v>2600</x:v>
      </x:c>
      <x:c r="G77" s="30" t="n">
        <x:v>52</x:v>
      </x:c>
      <x:c r="H77" s="30" t="n">
        <x:v>0</x:v>
      </x:c>
      <x:c r="I77" s="30" t="n">
        <x:v>0</x:v>
      </x:c>
      <x:c r="J77" s="30" t="n">
        <x:v>0</x:v>
      </x:c>
      <x:c r="K77" s="30" t="n">
        <x:v>0</x:v>
      </x:c>
      <x:c r="L77" s="30" t="n">
        <x:v>0</x:v>
      </x:c>
      <x:c r="M77" s="30" t="n">
        <x:v>0</x:v>
      </x:c>
      <x:c r="N77" s="30" t="n">
        <x:v>0</x:v>
      </x:c>
      <x:c r="O77" s="30" t="n">
        <x:v>40</x:v>
      </x:c>
      <x:c r="P77" s="30" t="n">
        <x:v>5.5</x:v>
      </x:c>
      <x:c r="Q77" s="30" t="n">
        <x:v>0</x:v>
      </x:c>
      <x:c r="R77" s="30" t="n">
        <x:v>0</x:v>
      </x:c>
      <x:c r="S77" s="30" t="n">
        <x:v>0</x:v>
      </x:c>
      <x:c r="T77" s="30" t="n">
        <x:v>0</x:v>
      </x:c>
      <x:c r="U77" s="30" t="n">
        <x:v>1</x:v>
      </x:c>
      <x:c r="V77" s="30" t="str">
        <x:v>2110</x:v>
      </x:c>
    </x:row>
    <x:row r="78">
      <x:c r="A78" s="29" t="str">
        <x:v>10080100</x:v>
      </x:c>
      <x:c r="B78" s="30" t="str">
        <x:v>MA-T-222 KYORAI</x:v>
      </x:c>
      <x:c r="C78" s="30" t="str">
        <x:v>Available</x:v>
      </x:c>
      <x:c r="D78" s="30" t="str">
        <x:v>NAPLAM BOMB LAUNCHER - MA-T-222 KYORAI (Right)</x:v>
      </x:c>
      <x:c r="E78" s="30" t="n">
        <x:v>1</x:v>
      </x:c>
      <x:c r="F78" s="30" t="n">
        <x:v>2890</x:v>
      </x:c>
      <x:c r="G78" s="30" t="n">
        <x:v>60</x:v>
      </x:c>
      <x:c r="H78" s="30" t="n">
        <x:v>1</x:v>
      </x:c>
      <x:c r="I78" s="30" t="n">
        <x:v>0</x:v>
      </x:c>
      <x:c r="J78" s="30" t="n">
        <x:v>1</x:v>
      </x:c>
      <x:c r="K78" s="30" t="n">
        <x:v>1</x:v>
      </x:c>
      <x:c r="L78" s="30" t="n">
        <x:v>1</x:v>
      </x:c>
      <x:c r="M78" s="30" t="n">
        <x:v>1</x:v>
      </x:c>
      <x:c r="N78" s="30" t="n">
        <x:v>0</x:v>
      </x:c>
      <x:c r="O78" s="30" t="n">
        <x:v>90</x:v>
      </x:c>
      <x:c r="P78" s="30" t="n">
        <x:v>2.3</x:v>
      </x:c>
      <x:c r="Q78" s="30" t="n">
        <x:v>0</x:v>
      </x:c>
      <x:c r="R78" s="30" t="n">
        <x:v>0</x:v>
      </x:c>
      <x:c r="S78" s="30" t="n">
        <x:v>0</x:v>
      </x:c>
      <x:c r="T78" s="30" t="n">
        <x:v>0</x:v>
      </x:c>
      <x:c r="U78" s="30" t="n">
        <x:v>1</x:v>
      </x:c>
      <x:c r="V78" s="30" t="str">
        <x:v>2120</x:v>
      </x:c>
    </x:row>
    <x:row r="79">
      <x:c r="A79" s="29" t="str">
        <x:v>10080200</x:v>
      </x:c>
      <x:c r="B79" s="30" t="str">
        <x:v>WS-1200 THERAPIST</x:v>
      </x:c>
      <x:c r="C79" s="30" t="str">
        <x:v>Available</x:v>
      </x:c>
      <x:c r="D79" s="30" t="str">
        <x:v>STUN BOMB LAUNCHER - WS-1200 THERAPIST (Right)</x:v>
      </x:c>
      <x:c r="E79" s="30" t="n">
        <x:v>1</x:v>
      </x:c>
      <x:c r="F79" s="30" t="n">
        <x:v>3180</x:v>
      </x:c>
      <x:c r="G79" s="30" t="n">
        <x:v>82</x:v>
      </x:c>
      <x:c r="H79" s="30" t="n">
        <x:v>1</x:v>
      </x:c>
      <x:c r="I79" s="30" t="n">
        <x:v>1</x:v>
      </x:c>
      <x:c r="J79" s="30" t="n">
        <x:v>1</x:v>
      </x:c>
      <x:c r="K79" s="30" t="n">
        <x:v>1</x:v>
      </x:c>
      <x:c r="L79" s="30" t="n">
        <x:v>1</x:v>
      </x:c>
      <x:c r="M79" s="30" t="n">
        <x:v>1</x:v>
      </x:c>
      <x:c r="N79" s="30" t="n">
        <x:v>0</x:v>
      </x:c>
      <x:c r="O79" s="30" t="n">
        <x:v>108</x:v>
      </x:c>
      <x:c r="P79" s="30" t="n">
        <x:v>2.5</x:v>
      </x:c>
      <x:c r="Q79" s="30" t="n">
        <x:v>0</x:v>
      </x:c>
      <x:c r="R79" s="30" t="n">
        <x:v>0</x:v>
      </x:c>
      <x:c r="S79" s="30" t="n">
        <x:v>0</x:v>
      </x:c>
      <x:c r="T79" s="30" t="n">
        <x:v>0</x:v>
      </x:c>
      <x:c r="U79" s="30" t="n">
        <x:v>1</x:v>
      </x:c>
      <x:c r="V79" s="30" t="str">
        <x:v>2130</x:v>
      </x:c>
    </x:row>
    <x:row r="80">
      <x:c r="A80" s="29" t="str">
        <x:v>10090000</x:v>
      </x:c>
      <x:c r="B80" s="30" t="str">
        <x:v>HML-G2/P19MLT-04</x:v>
      </x:c>
      <x:c r="C80" s="30" t="str">
        <x:v>Available</x:v>
      </x:c>
      <x:c r="D80" s="30" t="str">
        <x:v>MISSILE LAUNCHER - HML-G2/P19MLT-04 (Right)</x:v>
      </x:c>
      <x:c r="E80" s="30" t="n">
        <x:v>1</x:v>
      </x:c>
      <x:c r="F80" s="30" t="n">
        <x:v>3250</x:v>
      </x:c>
      <x:c r="G80" s="30" t="n">
        <x:v>165</x:v>
      </x:c>
      <x:c r="H80" s="30" t="n">
        <x:v>0</x:v>
      </x:c>
      <x:c r="I80" s="30" t="n">
        <x:v>0</x:v>
      </x:c>
      <x:c r="J80" s="30" t="n">
        <x:v>0</x:v>
      </x:c>
      <x:c r="K80" s="30" t="n">
        <x:v>0</x:v>
      </x:c>
      <x:c r="L80" s="30" t="n">
        <x:v>0</x:v>
      </x:c>
      <x:c r="M80" s="30" t="n">
        <x:v>0</x:v>
      </x:c>
      <x:c r="N80" s="30" t="n">
        <x:v>0</x:v>
      </x:c>
      <x:c r="O80" s="30" t="n">
        <x:v>180</x:v>
      </x:c>
      <x:c r="P80" s="30" t="n">
        <x:v>3.6</x:v>
      </x:c>
      <x:c r="Q80" s="30" t="n">
        <x:v>0</x:v>
      </x:c>
      <x:c r="R80" s="30" t="n">
        <x:v>0</x:v>
      </x:c>
      <x:c r="S80" s="30" t="n">
        <x:v>0</x:v>
      </x:c>
      <x:c r="T80" s="30" t="n">
        <x:v>0</x:v>
      </x:c>
      <x:c r="U80" s="30" t="n">
        <x:v>1</x:v>
      </x:c>
      <x:c r="V80" s="30" t="str">
        <x:v>2210</x:v>
      </x:c>
    </x:row>
    <x:row r="81">
      <x:c r="A81" s="29" t="str">
        <x:v>10090100</x:v>
      </x:c>
      <x:c r="B81" s="30" t="str">
        <x:v>HML-G3/P08SPL-06</x:v>
      </x:c>
      <x:c r="C81" s="30" t="str">
        <x:v>Available</x:v>
      </x:c>
      <x:c r="D81" s="30" t="str">
        <x:v>SPLIT MISSILE LAUNCHER - HML-G3/P08SPL-06 (Right)</x:v>
      </x:c>
      <x:c r="E81" s="30" t="n">
        <x:v>1</x:v>
      </x:c>
      <x:c r="F81" s="30" t="n">
        <x:v>4630</x:v>
      </x:c>
      <x:c r="G81" s="30" t="n">
        <x:v>180</x:v>
      </x:c>
      <x:c r="H81" s="30" t="n">
        <x:v>1</x:v>
      </x:c>
      <x:c r="I81" s="30" t="n">
        <x:v>1</x:v>
      </x:c>
      <x:c r="J81" s="30" t="n">
        <x:v>1</x:v>
      </x:c>
      <x:c r="K81" s="30" t="n">
        <x:v>1</x:v>
      </x:c>
      <x:c r="L81" s="30" t="n">
        <x:v>1</x:v>
      </x:c>
      <x:c r="M81" s="30" t="n">
        <x:v>1</x:v>
      </x:c>
      <x:c r="N81" s="30" t="n">
        <x:v>1</x:v>
      </x:c>
      <x:c r="O81" s="30" t="n">
        <x:v>38</x:v>
      </x:c>
      <x:c r="P81" s="30" t="n">
        <x:v>4</x:v>
      </x:c>
      <x:c r="Q81" s="30" t="n">
        <x:v>0</x:v>
      </x:c>
      <x:c r="R81" s="30" t="n">
        <x:v>1</x:v>
      </x:c>
      <x:c r="S81" s="30" t="n">
        <x:v>0</x:v>
      </x:c>
      <x:c r="T81" s="30" t="n">
        <x:v>0</x:v>
      </x:c>
      <x:c r="U81" s="30" t="n">
        <x:v>1</x:v>
      </x:c>
      <x:c r="V81" s="30" t="str">
        <x:v>2220</x:v>
      </x:c>
    </x:row>
    <x:row r="82">
      <x:c r="A82" s="29" t="str">
        <x:v>10100000</x:v>
      </x:c>
      <x:c r="B82" s="30" t="str">
        <x:v>IRIDIUM</x:v>
      </x:c>
      <x:c r="C82" s="30" t="str">
        <x:v>Available</x:v>
      </x:c>
      <x:c r="D82" s="30" t="str">
        <x:v>GRENADE LAUNCHER - IRIDIUM (Right)</x:v>
      </x:c>
      <x:c r="E82" s="30" t="n">
        <x:v>1</x:v>
      </x:c>
      <x:c r="F82" s="30" t="n">
        <x:v>2020</x:v>
      </x:c>
      <x:c r="G82" s="30" t="n">
        <x:v>290</x:v>
      </x:c>
      <x:c r="H82" s="30" t="n">
        <x:v>0</x:v>
      </x:c>
      <x:c r="I82" s="30" t="n">
        <x:v>0</x:v>
      </x:c>
      <x:c r="J82" s="30" t="n">
        <x:v>0</x:v>
      </x:c>
      <x:c r="K82" s="30" t="n">
        <x:v>0</x:v>
      </x:c>
      <x:c r="L82" s="30" t="n">
        <x:v>0</x:v>
      </x:c>
      <x:c r="M82" s="30" t="n">
        <x:v>0</x:v>
      </x:c>
      <x:c r="N82" s="30" t="n">
        <x:v>0</x:v>
      </x:c>
      <x:c r="O82" s="30" t="n">
        <x:v>32</x:v>
      </x:c>
      <x:c r="P82" s="30" t="n">
        <x:v>3.8</x:v>
      </x:c>
      <x:c r="Q82" s="30" t="n">
        <x:v>0</x:v>
      </x:c>
      <x:c r="R82" s="30" t="n">
        <x:v>0</x:v>
      </x:c>
      <x:c r="S82" s="30" t="n">
        <x:v>0</x:v>
      </x:c>
      <x:c r="T82" s="30" t="n">
        <x:v>0</x:v>
      </x:c>
      <x:c r="U82" s="30" t="n">
        <x:v>1</x:v>
      </x:c>
      <x:c r="V82" s="30" t="str">
        <x:v>2310</x:v>
      </x:c>
    </x:row>
    <x:row r="83">
      <x:c r="A83" s="29" t="str">
        <x:v>10110000</x:v>
      </x:c>
      <x:c r="B83" s="30" t="str">
        <x:v>VP-66LH</x:v>
      </x:c>
      <x:c r="C83" s="30" t="str">
        <x:v>Available</x:v>
      </x:c>
      <x:c r="D83" s="30" t="str">
        <x:v>LASER HANDGUN - VP-66LH (Right)</x:v>
      </x:c>
      <x:c r="E83" s="30" t="n">
        <x:v>1</x:v>
      </x:c>
      <x:c r="F83" s="30" t="n">
        <x:v>2800</x:v>
      </x:c>
      <x:c r="G83" s="30" t="n">
        <x:v>395</x:v>
      </x:c>
      <x:c r="H83" s="30" t="n">
        <x:v>0</x:v>
      </x:c>
      <x:c r="I83" s="30" t="n">
        <x:v>0</x:v>
      </x:c>
      <x:c r="J83" s="30" t="n">
        <x:v>0</x:v>
      </x:c>
      <x:c r="K83" s="30" t="n">
        <x:v>0</x:v>
      </x:c>
      <x:c r="L83" s="30" t="n">
        <x:v>0</x:v>
      </x:c>
      <x:c r="M83" s="30" t="n">
        <x:v>0</x:v>
      </x:c>
      <x:c r="N83" s="30" t="n">
        <x:v>0</x:v>
      </x:c>
      <x:c r="O83" s="30" t="n">
        <x:v>380</x:v>
      </x:c>
      <x:c r="P83" s="30" t="n">
        <x:v>0</x:v>
      </x:c>
      <x:c r="Q83" s="30" t="n">
        <x:v>0</x:v>
      </x:c>
      <x:c r="R83" s="30" t="n">
        <x:v>0</x:v>
      </x:c>
      <x:c r="S83" s="30" t="n">
        <x:v>0</x:v>
      </x:c>
      <x:c r="T83" s="30" t="n">
        <x:v>0</x:v>
      </x:c>
      <x:c r="U83" s="30" t="n">
        <x:v>1</x:v>
      </x:c>
      <x:c r="V83" s="30" t="str">
        <x:v>2710</x:v>
      </x:c>
    </x:row>
    <x:row r="84">
      <x:c r="A84" s="29" t="str">
        <x:v>10110100</x:v>
      </x:c>
      <x:c r="B84" s="30" t="str">
        <x:v>VP-66LR</x:v>
      </x:c>
      <x:c r="C84" s="30" t="str">
        <x:v>Available</x:v>
      </x:c>
      <x:c r="D84" s="30" t="str">
        <x:v>LASER RIFLE - VP-66LR (Right)</x:v>
      </x:c>
      <x:c r="E84" s="30" t="n">
        <x:v>1</x:v>
      </x:c>
      <x:c r="F84" s="30" t="n">
        <x:v>3560</x:v>
      </x:c>
      <x:c r="G84" s="30" t="n">
        <x:v>480</x:v>
      </x:c>
      <x:c r="H84" s="30" t="n">
        <x:v>0</x:v>
      </x:c>
      <x:c r="I84" s="30" t="n">
        <x:v>0</x:v>
      </x:c>
      <x:c r="J84" s="30" t="n">
        <x:v>0</x:v>
      </x:c>
      <x:c r="K84" s="30" t="n">
        <x:v>0</x:v>
      </x:c>
      <x:c r="L84" s="30" t="n">
        <x:v>0</x:v>
      </x:c>
      <x:c r="M84" s="30" t="n">
        <x:v>0</x:v>
      </x:c>
      <x:c r="N84" s="30" t="n">
        <x:v>0</x:v>
      </x:c>
      <x:c r="O84" s="30" t="n">
        <x:v>280</x:v>
      </x:c>
      <x:c r="P84" s="30" t="n">
        <x:v>0</x:v>
      </x:c>
      <x:c r="Q84" s="30" t="n">
        <x:v>0</x:v>
      </x:c>
      <x:c r="R84" s="30" t="n">
        <x:v>0</x:v>
      </x:c>
      <x:c r="S84" s="30" t="n">
        <x:v>0</x:v>
      </x:c>
      <x:c r="T84" s="30" t="n">
        <x:v>0</x:v>
      </x:c>
      <x:c r="U84" s="30" t="n">
        <x:v>1</x:v>
      </x:c>
      <x:c r="V84" s="30" t="str">
        <x:v>2720</x:v>
      </x:c>
    </x:row>
    <x:row r="85">
      <x:c r="A85" s="29" t="str">
        <x:v>10110200</x:v>
      </x:c>
      <x:c r="B85" s="30" t="str">
        <x:v>IB-C03W1: WLT 011</x:v>
      </x:c>
      <x:c r="C85" s="30" t="str">
        <x:v>Available</x:v>
      </x:c>
      <x:c r="D85" s="30" t="str">
        <x:v>CORAL RIFLE - IB-C03W1: WLT 011 (Right)</x:v>
      </x:c>
      <x:c r="E85" s="30" t="n">
        <x:v>1</x:v>
      </x:c>
      <x:c r="F85" s="30" t="n">
        <x:v>9030</x:v>
      </x:c>
      <x:c r="G85" s="30" t="n">
        <x:v>850</x:v>
      </x:c>
      <x:c r="H85" s="30" t="n">
        <x:v>1</x:v>
      </x:c>
      <x:c r="I85" s="30" t="n">
        <x:v>1</x:v>
      </x:c>
      <x:c r="J85" s="30" t="n">
        <x:v>1</x:v>
      </x:c>
      <x:c r="K85" s="30" t="n">
        <x:v>1</x:v>
      </x:c>
      <x:c r="L85" s="30" t="n">
        <x:v>1</x:v>
      </x:c>
      <x:c r="M85" s="30" t="n">
        <x:v>1</x:v>
      </x:c>
      <x:c r="N85" s="30" t="n">
        <x:v>0</x:v>
      </x:c>
      <x:c r="O85" s="30" t="n">
        <x:v>180</x:v>
      </x:c>
      <x:c r="P85" s="30" t="n">
        <x:v>0</x:v>
      </x:c>
      <x:c r="Q85" s="30" t="n">
        <x:v>1</x:v>
      </x:c>
      <x:c r="R85" s="30" t="n">
        <x:v>0</x:v>
      </x:c>
      <x:c r="S85" s="30" t="n">
        <x:v>0</x:v>
      </x:c>
      <x:c r="T85" s="30" t="n">
        <x:v>0</x:v>
      </x:c>
      <x:c r="U85" s="30" t="n">
        <x:v>1</x:v>
      </x:c>
      <x:c r="V85" s="30" t="str">
        <x:v>2730</x:v>
      </x:c>
    </x:row>
    <x:row r="86">
      <x:c r="A86" s="29" t="str">
        <x:v>10110300</x:v>
      </x:c>
      <x:c r="B86" s="30" t="str">
        <x:v>VE-66LRA</x:v>
      </x:c>
      <x:c r="C86" s="30" t="str">
        <x:v>Available</x:v>
      </x:c>
      <x:c r="D86" s="30" t="str">
        <x:v>LASER RIFLE - VE-66LRA (Right)</x:v>
      </x:c>
      <x:c r="E86" s="30" t="n">
        <x:v>1</x:v>
      </x:c>
      <x:c r="F86" s="30" t="n">
        <x:v>4940</x:v>
      </x:c>
      <x:c r="G86" s="30" t="n">
        <x:v>532</x:v>
      </x:c>
      <x:c r="H86" s="30" t="n">
        <x:v>0</x:v>
      </x:c>
      <x:c r="I86" s="30" t="n">
        <x:v>0</x:v>
      </x:c>
      <x:c r="J86" s="30" t="n">
        <x:v>0</x:v>
      </x:c>
      <x:c r="K86" s="30" t="n">
        <x:v>0</x:v>
      </x:c>
      <x:c r="L86" s="30" t="n">
        <x:v>0</x:v>
      </x:c>
      <x:c r="M86" s="30" t="n">
        <x:v>0</x:v>
      </x:c>
      <x:c r="N86" s="30" t="n">
        <x:v>0</x:v>
      </x:c>
      <x:c r="O86" s="30" t="n">
        <x:v>90</x:v>
      </x:c>
      <x:c r="P86" s="30" t="n">
        <x:v>0</x:v>
      </x:c>
      <x:c r="Q86" s="30" t="n">
        <x:v>0</x:v>
      </x:c>
      <x:c r="R86" s="30" t="n">
        <x:v>0</x:v>
      </x:c>
      <x:c r="S86" s="30" t="n">
        <x:v>0</x:v>
      </x:c>
      <x:c r="T86" s="30" t="n">
        <x:v>0</x:v>
      </x:c>
      <x:c r="U86" s="30" t="n">
        <x:v>1</x:v>
      </x:c>
      <x:c r="V86" s="30" t="str">
        <x:v>2740</x:v>
      </x:c>
    </x:row>
    <x:row r="87">
      <x:c r="A87" s="29" t="str">
        <x:v>10120000</x:v>
      </x:c>
      <x:c r="B87" s="30" t="str">
        <x:v>Vvc-760PR</x:v>
      </x:c>
      <x:c r="C87" s="30" t="str">
        <x:v>Available</x:v>
      </x:c>
      <x:c r="D87" s="30" t="str">
        <x:v>PLASMA RIFLE - Vvc-760PR (Right)</x:v>
      </x:c>
      <x:c r="E87" s="30" t="n">
        <x:v>1</x:v>
      </x:c>
      <x:c r="F87" s="30" t="n">
        <x:v>3330</x:v>
      </x:c>
      <x:c r="G87" s="30" t="n">
        <x:v>490</x:v>
      </x:c>
      <x:c r="H87" s="30" t="n">
        <x:v>1</x:v>
      </x:c>
      <x:c r="I87" s="30" t="n">
        <x:v>1</x:v>
      </x:c>
      <x:c r="J87" s="30" t="n">
        <x:v>1</x:v>
      </x:c>
      <x:c r="K87" s="30" t="n">
        <x:v>1</x:v>
      </x:c>
      <x:c r="L87" s="30" t="n">
        <x:v>1</x:v>
      </x:c>
      <x:c r="M87" s="30" t="n">
        <x:v>1</x:v>
      </x:c>
      <x:c r="N87" s="30" t="n">
        <x:v>0</x:v>
      </x:c>
      <x:c r="O87" s="30" t="n">
        <x:v>90</x:v>
      </x:c>
      <x:c r="P87" s="30" t="n">
        <x:v>0</x:v>
      </x:c>
      <x:c r="Q87" s="30" t="n">
        <x:v>0</x:v>
      </x:c>
      <x:c r="R87" s="30" t="n">
        <x:v>1</x:v>
      </x:c>
      <x:c r="S87" s="30" t="n">
        <x:v>1</x:v>
      </x:c>
      <x:c r="T87" s="30" t="n">
        <x:v>1</x:v>
      </x:c>
      <x:c r="U87" s="30" t="n">
        <x:v>1</x:v>
      </x:c>
      <x:c r="V87" s="30" t="str">
        <x:v>2410</x:v>
      </x:c>
    </x:row>
    <x:row r="88">
      <x:c r="A88" s="29" t="str">
        <x:v>10120100</x:v>
      </x:c>
      <x:c r="B88" s="30" t="str">
        <x:v>44-142 KRSV</x:v>
      </x:c>
      <x:c r="C88" s="30" t="str">
        <x:v>Available</x:v>
      </x:c>
      <x:c r="D88" s="30" t="str">
        <x:v>MULTI ENERGY RIFLE - 44-142 KRSV (Right)</x:v>
      </x:c>
      <x:c r="E88" s="30" t="n">
        <x:v>1</x:v>
      </x:c>
      <x:c r="F88" s="30" t="n">
        <x:v>10120</x:v>
      </x:c>
      <x:c r="G88" s="30" t="n">
        <x:v>707</x:v>
      </x:c>
      <x:c r="H88" s="30" t="n">
        <x:v>1</x:v>
      </x:c>
      <x:c r="I88" s="30" t="n">
        <x:v>1</x:v>
      </x:c>
      <x:c r="J88" s="30" t="n">
        <x:v>1</x:v>
      </x:c>
      <x:c r="K88" s="30" t="n">
        <x:v>1</x:v>
      </x:c>
      <x:c r="L88" s="30" t="n">
        <x:v>1</x:v>
      </x:c>
      <x:c r="M88" s="30" t="n">
        <x:v>1</x:v>
      </x:c>
      <x:c r="N88" s="30" t="n">
        <x:v>0</x:v>
      </x:c>
      <x:c r="O88" s="30" t="n">
        <x:v>160</x:v>
      </x:c>
      <x:c r="P88" s="30" t="n">
        <x:v>0</x:v>
      </x:c>
      <x:c r="Q88" s="30" t="n">
        <x:v>1</x:v>
      </x:c>
      <x:c r="R88" s="30" t="n">
        <x:v>2</x:v>
      </x:c>
      <x:c r="S88" s="30" t="n">
        <x:v>2</x:v>
      </x:c>
      <x:c r="T88" s="30" t="n">
        <x:v>2</x:v>
      </x:c>
      <x:c r="U88" s="30" t="n">
        <x:v>1</x:v>
      </x:c>
      <x:c r="V88" s="30" t="str">
        <x:v>2420</x:v>
      </x:c>
    </x:row>
    <x:row r="89">
      <x:c r="A89" s="29" t="str">
        <x:v>10130000</x:v>
      </x:c>
      <x:c r="B89" s="30" t="str">
        <x:v>HI-16: GU-Q1</x:v>
      </x:c>
      <x:c r="C89" s="30" t="str">
        <x:v>Available</x:v>
      </x:c>
      <x:c r="D89" s="30" t="str">
        <x:v>PULSE GUN - HI-16: GU-Q1 (Right)</x:v>
      </x:c>
      <x:c r="E89" s="30" t="n">
        <x:v>1</x:v>
      </x:c>
      <x:c r="F89" s="30" t="n">
        <x:v>2110</x:v>
      </x:c>
      <x:c r="G89" s="30" t="n">
        <x:v>368</x:v>
      </x:c>
      <x:c r="H89" s="30" t="n">
        <x:v>0</x:v>
      </x:c>
      <x:c r="I89" s="30" t="n">
        <x:v>0</x:v>
      </x:c>
      <x:c r="J89" s="30" t="n">
        <x:v>0</x:v>
      </x:c>
      <x:c r="K89" s="30" t="n">
        <x:v>0</x:v>
      </x:c>
      <x:c r="L89" s="30" t="n">
        <x:v>0</x:v>
      </x:c>
      <x:c r="M89" s="30" t="n">
        <x:v>0</x:v>
      </x:c>
      <x:c r="N89" s="30" t="n">
        <x:v>0</x:v>
      </x:c>
      <x:c r="O89" s="30" t="n">
        <x:v>560</x:v>
      </x:c>
      <x:c r="P89" s="30" t="n">
        <x:v>0</x:v>
      </x:c>
      <x:c r="Q89" s="30" t="n">
        <x:v>0</x:v>
      </x:c>
      <x:c r="R89" s="30" t="n">
        <x:v>0</x:v>
      </x:c>
      <x:c r="S89" s="30" t="n">
        <x:v>0</x:v>
      </x:c>
      <x:c r="T89" s="30" t="n">
        <x:v>0</x:v>
      </x:c>
      <x:c r="U89" s="30" t="n">
        <x:v>1</x:v>
      </x:c>
      <x:c r="V89" s="30" t="str">
        <x:v>2810</x:v>
      </x:c>
    </x:row>
    <x:row r="90">
      <x:c r="A90" s="29" t="str">
        <x:v>10130100</x:v>
      </x:c>
      <x:c r="B90" s="30" t="str">
        <x:v>HI-18: GU-A2</x:v>
      </x:c>
      <x:c r="C90" s="30" t="str">
        <x:v>Available</x:v>
      </x:c>
      <x:c r="D90" s="30" t="str">
        <x:v>PULSE GUN - HI-18: GU-A2 (Right)</x:v>
      </x:c>
      <x:c r="E90" s="30" t="n">
        <x:v>1</x:v>
      </x:c>
      <x:c r="F90" s="30" t="n">
        <x:v>2650</x:v>
      </x:c>
      <x:c r="G90" s="30" t="n">
        <x:v>446</x:v>
      </x:c>
      <x:c r="H90" s="30" t="n">
        <x:v>0</x:v>
      </x:c>
      <x:c r="I90" s="30" t="n">
        <x:v>0</x:v>
      </x:c>
      <x:c r="J90" s="30" t="n">
        <x:v>0</x:v>
      </x:c>
      <x:c r="K90" s="30" t="n">
        <x:v>0</x:v>
      </x:c>
      <x:c r="L90" s="30" t="n">
        <x:v>0</x:v>
      </x:c>
      <x:c r="M90" s="30" t="n">
        <x:v>0</x:v>
      </x:c>
      <x:c r="N90" s="30" t="n">
        <x:v>0</x:v>
      </x:c>
      <x:c r="O90" s="30" t="n">
        <x:v>380</x:v>
      </x:c>
      <x:c r="P90" s="30" t="n">
        <x:v>0</x:v>
      </x:c>
      <x:c r="Q90" s="30" t="n">
        <x:v>0</x:v>
      </x:c>
      <x:c r="R90" s="30" t="n">
        <x:v>0</x:v>
      </x:c>
      <x:c r="S90" s="30" t="n">
        <x:v>0</x:v>
      </x:c>
      <x:c r="T90" s="30" t="n">
        <x:v>0</x:v>
      </x:c>
      <x:c r="U90" s="30" t="n">
        <x:v>1</x:v>
      </x:c>
      <x:c r="V90" s="30" t="str">
        <x:v>2820</x:v>
      </x:c>
    </x:row>
    <x:row r="91">
      <x:c r="A91" s="29" t="str">
        <x:v>10140000</x:v>
      </x:c>
      <x:c r="B91" s="30" t="str">
        <x:v>VE-66LRB</x:v>
      </x:c>
      <x:c r="C91" s="30" t="str">
        <x:v>Available</x:v>
      </x:c>
      <x:c r="D91" s="30" t="str">
        <x:v>LASER RIFLE - VE-66LRB (Right)</x:v>
      </x:c>
      <x:c r="E91" s="30" t="n">
        <x:v>1</x:v>
      </x:c>
      <x:c r="F91" s="30" t="n">
        <x:v>7760</x:v>
      </x:c>
      <x:c r="G91" s="30" t="n">
        <x:v>604</x:v>
      </x:c>
      <x:c r="H91" s="30" t="n">
        <x:v>0</x:v>
      </x:c>
      <x:c r="I91" s="30" t="n">
        <x:v>0</x:v>
      </x:c>
      <x:c r="J91" s="30" t="n">
        <x:v>0</x:v>
      </x:c>
      <x:c r="K91" s="30" t="n">
        <x:v>0</x:v>
      </x:c>
      <x:c r="L91" s="30" t="n">
        <x:v>0</x:v>
      </x:c>
      <x:c r="M91" s="30" t="n">
        <x:v>0</x:v>
      </x:c>
      <x:c r="N91" s="30" t="n">
        <x:v>0</x:v>
      </x:c>
      <x:c r="O91" s="30" t="n">
        <x:v>108</x:v>
      </x:c>
      <x:c r="P91" s="30" t="n">
        <x:v>0</x:v>
      </x:c>
      <x:c r="Q91" s="30" t="n">
        <x:v>0</x:v>
      </x:c>
      <x:c r="R91" s="30" t="n">
        <x:v>0</x:v>
      </x:c>
      <x:c r="S91" s="30" t="n">
        <x:v>0</x:v>
      </x:c>
      <x:c r="T91" s="30" t="n">
        <x:v>0</x:v>
      </x:c>
      <x:c r="U91" s="30" t="n">
        <x:v>1</x:v>
      </x:c>
      <x:c r="V91" s="30" t="str">
        <x:v>2510</x:v>
      </x:c>
    </x:row>
    <x:row r="92">
      <x:c r="A92" s="29" t="str">
        <x:v>10150000</x:v>
      </x:c>
      <x:c r="B92" s="30" t="str">
        <x:v>WUERGER/66E</x:v>
      </x:c>
      <x:c r="C92" s="30" t="str">
        <x:v>Available</x:v>
      </x:c>
      <x:c r="D92" s="30" t="str">
        <x:v>LASER SHOTGUN - WUERGER/66E (Right)</x:v>
      </x:c>
      <x:c r="E92" s="30" t="n">
        <x:v>1</x:v>
      </x:c>
      <x:c r="F92" s="30" t="n">
        <x:v>2880</x:v>
      </x:c>
      <x:c r="G92" s="30" t="n">
        <x:v>440</x:v>
      </x:c>
      <x:c r="H92" s="30" t="n">
        <x:v>0</x:v>
      </x:c>
      <x:c r="I92" s="30" t="n">
        <x:v>0</x:v>
      </x:c>
      <x:c r="J92" s="30" t="n">
        <x:v>0</x:v>
      </x:c>
      <x:c r="K92" s="30" t="n">
        <x:v>0</x:v>
      </x:c>
      <x:c r="L92" s="30" t="n">
        <x:v>0</x:v>
      </x:c>
      <x:c r="M92" s="30" t="n">
        <x:v>0</x:v>
      </x:c>
      <x:c r="N92" s="30" t="n">
        <x:v>0</x:v>
      </x:c>
      <x:c r="O92" s="30" t="n">
        <x:v>66</x:v>
      </x:c>
      <x:c r="P92" s="30" t="n">
        <x:v>0</x:v>
      </x:c>
      <x:c r="Q92" s="30" t="n">
        <x:v>0</x:v>
      </x:c>
      <x:c r="R92" s="30" t="n">
        <x:v>0</x:v>
      </x:c>
      <x:c r="S92" s="30" t="n">
        <x:v>0</x:v>
      </x:c>
      <x:c r="T92" s="30" t="n">
        <x:v>0</x:v>
      </x:c>
      <x:c r="U92" s="30" t="n">
        <x:v>1</x:v>
      </x:c>
      <x:c r="V92" s="30" t="str">
        <x:v>2610</x:v>
      </x:c>
    </x:row>
    <x:row r="93">
      <x:c r="A93" s="29" t="str">
        <x:v>10150100</x:v>
      </x:c>
      <x:c r="B93" s="30" t="str">
        <x:v>VP-66LS</x:v>
      </x:c>
      <x:c r="C93" s="30" t="str">
        <x:v>Available</x:v>
      </x:c>
      <x:c r="D93" s="30" t="str">
        <x:v>LASER SHOTGUN - VP-66LS (Right)</x:v>
      </x:c>
      <x:c r="E93" s="30" t="n">
        <x:v>1</x:v>
      </x:c>
      <x:c r="F93" s="30" t="n">
        <x:v>3540</x:v>
      </x:c>
      <x:c r="G93" s="30" t="n">
        <x:v>510</x:v>
      </x:c>
      <x:c r="H93" s="30" t="n">
        <x:v>0</x:v>
      </x:c>
      <x:c r="I93" s="30" t="n">
        <x:v>0</x:v>
      </x:c>
      <x:c r="J93" s="30" t="n">
        <x:v>0</x:v>
      </x:c>
      <x:c r="K93" s="30" t="n">
        <x:v>0</x:v>
      </x:c>
      <x:c r="L93" s="30" t="n">
        <x:v>0</x:v>
      </x:c>
      <x:c r="M93" s="30" t="n">
        <x:v>0</x:v>
      </x:c>
      <x:c r="N93" s="30" t="n">
        <x:v>0</x:v>
      </x:c>
      <x:c r="O93" s="30" t="n">
        <x:v>60</x:v>
      </x:c>
      <x:c r="P93" s="30" t="n">
        <x:v>0</x:v>
      </x:c>
      <x:c r="Q93" s="30" t="n">
        <x:v>0</x:v>
      </x:c>
      <x:c r="R93" s="30" t="n">
        <x:v>0</x:v>
      </x:c>
      <x:c r="S93" s="30" t="n">
        <x:v>0</x:v>
      </x:c>
      <x:c r="T93" s="30" t="n">
        <x:v>0</x:v>
      </x:c>
      <x:c r="U93" s="30" t="n">
        <x:v>1</x:v>
      </x:c>
      <x:c r="V93" s="30" t="str">
        <x:v>2620</x:v>
      </x:c>
    </x:row>
    <x:row r="94">
      <x:c r="A94" s="29" t="str">
        <x:v>10150200</x:v>
      </x:c>
      <x:c r="B94" s="30" t="str">
        <x:v>IA-C01W1: NEBULA</x:v>
      </x:c>
      <x:c r="C94" s="30" t="str">
        <x:v>Available</x:v>
      </x:c>
      <x:c r="D94" s="30" t="str">
        <x:v>PLASMA RIFLE - IA-C01W1: NEBULA (Right)</x:v>
      </x:c>
      <x:c r="E94" s="30" t="n">
        <x:v>1</x:v>
      </x:c>
      <x:c r="F94" s="30" t="n">
        <x:v>3890</x:v>
      </x:c>
      <x:c r="G94" s="30" t="n">
        <x:v>609</x:v>
      </x:c>
      <x:c r="H94" s="30" t="n">
        <x:v>1</x:v>
      </x:c>
      <x:c r="I94" s="30" t="n">
        <x:v>1</x:v>
      </x:c>
      <x:c r="J94" s="30" t="n">
        <x:v>1</x:v>
      </x:c>
      <x:c r="K94" s="30" t="n">
        <x:v>1</x:v>
      </x:c>
      <x:c r="L94" s="30" t="n">
        <x:v>1</x:v>
      </x:c>
      <x:c r="M94" s="30" t="n">
        <x:v>1</x:v>
      </x:c>
      <x:c r="N94" s="30" t="n">
        <x:v>0</x:v>
      </x:c>
      <x:c r="O94" s="30" t="n">
        <x:v>58</x:v>
      </x:c>
      <x:c r="P94" s="30" t="n">
        <x:v>0</x:v>
      </x:c>
      <x:c r="Q94" s="30" t="n">
        <x:v>0</x:v>
      </x:c>
      <x:c r="R94" s="30" t="n">
        <x:v>1</x:v>
      </x:c>
      <x:c r="S94" s="30" t="n">
        <x:v>1</x:v>
      </x:c>
      <x:c r="T94" s="30" t="n">
        <x:v>1</x:v>
      </x:c>
      <x:c r="U94" s="30" t="n">
        <x:v>1</x:v>
      </x:c>
      <x:c r="V94" s="30" t="str">
        <x:v>2630</x:v>
      </x:c>
    </x:row>
    <x:row r="95">
      <x:c r="A95" s="29" t="str">
        <x:v>10150300</x:v>
      </x:c>
      <x:c r="B95" s="30" t="str">
        <x:v>IA-C01W6: NB-REDSHIFT</x:v>
      </x:c>
      <x:c r="C95" s="30" t="str">
        <x:v>Available</x:v>
      </x:c>
      <x:c r="D95" s="30" t="str">
        <x:v>CORAL RIFLE - IA-C01W6: NB-REDSHIFT (Right)</x:v>
      </x:c>
      <x:c r="E95" s="30" t="n">
        <x:v>1</x:v>
      </x:c>
      <x:c r="F95" s="30" t="n">
        <x:v>4040</x:v>
      </x:c>
      <x:c r="G95" s="30" t="n">
        <x:v>667</x:v>
      </x:c>
      <x:c r="H95" s="30" t="n">
        <x:v>1</x:v>
      </x:c>
      <x:c r="I95" s="30" t="n">
        <x:v>1</x:v>
      </x:c>
      <x:c r="J95" s="30" t="n">
        <x:v>1</x:v>
      </x:c>
      <x:c r="K95" s="30" t="n">
        <x:v>1</x:v>
      </x:c>
      <x:c r="L95" s="30" t="n">
        <x:v>1</x:v>
      </x:c>
      <x:c r="M95" s="30" t="n">
        <x:v>1</x:v>
      </x:c>
      <x:c r="N95" s="30" t="n">
        <x:v>0</x:v>
      </x:c>
      <x:c r="O95" s="30" t="n">
        <x:v>52</x:v>
      </x:c>
      <x:c r="P95" s="30" t="n">
        <x:v>0</x:v>
      </x:c>
      <x:c r="Q95" s="30" t="n">
        <x:v>0</x:v>
      </x:c>
      <x:c r="R95" s="30" t="n">
        <x:v>1</x:v>
      </x:c>
      <x:c r="S95" s="30" t="n">
        <x:v>1</x:v>
      </x:c>
      <x:c r="T95" s="30" t="n">
        <x:v>1</x:v>
      </x:c>
      <x:c r="U95" s="30" t="n">
        <x:v>1</x:v>
      </x:c>
      <x:c r="V95" s="30" t="str">
        <x:v>2631</x:v>
      </x:c>
    </x:row>
    <x:row r="96">
      <x:c r="A96" s="29" t="str">
        <x:v>10160000</x:v>
      </x:c>
      <x:c r="B96" s="30" t="str">
        <x:v>WB-0000 BAD COOK</x:v>
      </x:c>
      <x:c r="C96" s="30" t="str">
        <x:v>Available</x:v>
      </x:c>
      <x:c r="D96" s="30" t="str">
        <x:v>FLAMETHROWER - WB-0000 BAD COOK (Right)</x:v>
      </x:c>
      <x:c r="E96" s="30" t="n">
        <x:v>1</x:v>
      </x:c>
      <x:c r="F96" s="30" t="n">
        <x:v>5370</x:v>
      </x:c>
      <x:c r="G96" s="30" t="n">
        <x:v>403</x:v>
      </x:c>
      <x:c r="H96" s="30" t="n">
        <x:v>0</x:v>
      </x:c>
      <x:c r="I96" s="30" t="n">
        <x:v>0</x:v>
      </x:c>
      <x:c r="J96" s="30" t="n">
        <x:v>0</x:v>
      </x:c>
      <x:c r="K96" s="30" t="n">
        <x:v>0</x:v>
      </x:c>
      <x:c r="L96" s="30" t="n">
        <x:v>0</x:v>
      </x:c>
      <x:c r="M96" s="30" t="n">
        <x:v>0</x:v>
      </x:c>
      <x:c r="N96" s="30" t="n">
        <x:v>0</x:v>
      </x:c>
      <x:c r="O96" s="30" t="n">
        <x:v>1200</x:v>
      </x:c>
      <x:c r="P96" s="30" t="n">
        <x:v>0</x:v>
      </x:c>
      <x:c r="Q96" s="30" t="n">
        <x:v>0</x:v>
      </x:c>
      <x:c r="R96" s="30" t="n">
        <x:v>0</x:v>
      </x:c>
      <x:c r="S96" s="30" t="n">
        <x:v>0</x:v>
      </x:c>
      <x:c r="T96" s="30" t="n">
        <x:v>0</x:v>
      </x:c>
      <x:c r="U96" s="30" t="n">
        <x:v>1</x:v>
      </x:c>
      <x:c r="V96" s="30" t="str">
        <x:v>2910</x:v>
      </x:c>
    </x:row>
    <x:row r="97">
      <x:c r="A97" s="29" t="str">
        <x:v>10170000</x:v>
      </x:c>
      <x:c r="B97" s="30" t="str">
        <x:v>44-141 JVLN ALPHA</x:v>
      </x:c>
      <x:c r="C97" s="30" t="str">
        <x:v>Available</x:v>
      </x:c>
      <x:c r="D97" s="30" t="str">
        <x:v>DETONATING BAZOOKA - 44-141 JVLN ALPHA (Right)</x:v>
      </x:c>
      <x:c r="E97" s="30" t="n">
        <x:v>1</x:v>
      </x:c>
      <x:c r="F97" s="30" t="n">
        <x:v>5920</x:v>
      </x:c>
      <x:c r="G97" s="30" t="n">
        <x:v>299</x:v>
      </x:c>
      <x:c r="H97" s="30" t="n">
        <x:v>4</x:v>
      </x:c>
      <x:c r="I97" s="30" t="n">
        <x:v>4</x:v>
      </x:c>
      <x:c r="J97" s="30" t="n">
        <x:v>4</x:v>
      </x:c>
      <x:c r="K97" s="30" t="n">
        <x:v>4</x:v>
      </x:c>
      <x:c r="L97" s="30" t="n">
        <x:v>4</x:v>
      </x:c>
      <x:c r="M97" s="30" t="n">
        <x:v>1</x:v>
      </x:c>
      <x:c r="N97" s="30" t="n">
        <x:v>0</x:v>
      </x:c>
      <x:c r="O97" s="30" t="n">
        <x:v>44</x:v>
      </x:c>
      <x:c r="P97" s="30" t="n">
        <x:v>4.1</x:v>
      </x:c>
      <x:c r="Q97" s="30" t="n">
        <x:v>0</x:v>
      </x:c>
      <x:c r="R97" s="30" t="n">
        <x:v>0</x:v>
      </x:c>
      <x:c r="S97" s="30" t="n">
        <x:v>0</x:v>
      </x:c>
      <x:c r="T97" s="30" t="n">
        <x:v>0</x:v>
      </x:c>
      <x:c r="U97" s="30" t="n">
        <x:v>1</x:v>
      </x:c>
      <x:c r="V97" s="30" t="str">
        <x:v>3010</x:v>
      </x:c>
    </x:row>
    <x:row r="98">
      <x:c r="A98" s="29" t="str">
        <x:v>10180000</x:v>
      </x:c>
      <x:c r="B98" s="30" t="str">
        <x:v>VP-66EG</x:v>
      </x:c>
      <x:c r="C98" s="30" t="str">
        <x:v>Available</x:v>
      </x:c>
      <x:c r="D98" s="30" t="str">
        <x:v>STUN GUN - VP-66EG (Right)</x:v>
      </x:c>
      <x:c r="E98" s="30" t="n">
        <x:v>1</x:v>
      </x:c>
      <x:c r="F98" s="30" t="n">
        <x:v>980</x:v>
      </x:c>
      <x:c r="G98" s="30" t="n">
        <x:v>247</x:v>
      </x:c>
      <x:c r="H98" s="30" t="n">
        <x:v>0</x:v>
      </x:c>
      <x:c r="I98" s="30" t="n">
        <x:v>0</x:v>
      </x:c>
      <x:c r="J98" s="30" t="n">
        <x:v>0</x:v>
      </x:c>
      <x:c r="K98" s="30" t="n">
        <x:v>0</x:v>
      </x:c>
      <x:c r="L98" s="30" t="n">
        <x:v>0</x:v>
      </x:c>
      <x:c r="M98" s="30" t="n">
        <x:v>0</x:v>
      </x:c>
      <x:c r="N98" s="30" t="n">
        <x:v>0</x:v>
      </x:c>
      <x:c r="O98" s="30" t="n">
        <x:v>133</x:v>
      </x:c>
      <x:c r="P98" s="30" t="n">
        <x:v>1.8</x:v>
      </x:c>
      <x:c r="Q98" s="30" t="n">
        <x:v>0</x:v>
      </x:c>
      <x:c r="R98" s="30" t="n">
        <x:v>0</x:v>
      </x:c>
      <x:c r="S98" s="30" t="n">
        <x:v>0</x:v>
      </x:c>
      <x:c r="T98" s="30" t="n">
        <x:v>0</x:v>
      </x:c>
      <x:c r="U98" s="30" t="n">
        <x:v>1</x:v>
      </x:c>
      <x:c r="V98" s="30" t="str">
        <x:v>3020</x:v>
      </x:c>
    </x:row>
    <x:row r="99">
      <x:c r="A99" s="29" t="str">
        <x:v>10190000</x:v>
      </x:c>
      <x:c r="B99" s="30" t="str">
        <x:v>WS-5000 APERITIF</x:v>
      </x:c>
      <x:c r="C99" s="30" t="str">
        <x:v>Available</x:v>
      </x:c>
      <x:c r="D99" s="30" t="str">
        <x:v>SIEGE MISSILE LAUNCHER - WS-5000 APERITIF (Right)</x:v>
      </x:c>
      <x:c r="E99" s="30" t="n">
        <x:v>1</x:v>
      </x:c>
      <x:c r="F99" s="30" t="n">
        <x:v>4600</x:v>
      </x:c>
      <x:c r="G99" s="30" t="n">
        <x:v>165</x:v>
      </x:c>
      <x:c r="H99" s="30" t="n">
        <x:v>1</x:v>
      </x:c>
      <x:c r="I99" s="30" t="n">
        <x:v>0</x:v>
      </x:c>
      <x:c r="J99" s="30" t="n">
        <x:v>1</x:v>
      </x:c>
      <x:c r="K99" s="30" t="n">
        <x:v>1</x:v>
      </x:c>
      <x:c r="L99" s="30" t="n">
        <x:v>1</x:v>
      </x:c>
      <x:c r="M99" s="30" t="n">
        <x:v>1</x:v>
      </x:c>
      <x:c r="N99" s="30" t="n">
        <x:v>0</x:v>
      </x:c>
      <x:c r="O99" s="30" t="n">
        <x:v>338</x:v>
      </x:c>
      <x:c r="P99" s="30" t="n">
        <x:v>6</x:v>
      </x:c>
      <x:c r="Q99" s="30" t="n">
        <x:v>0</x:v>
      </x:c>
      <x:c r="R99" s="30" t="n">
        <x:v>1</x:v>
      </x:c>
      <x:c r="S99" s="30" t="n">
        <x:v>1</x:v>
      </x:c>
      <x:c r="T99" s="30" t="n">
        <x:v>1</x:v>
      </x:c>
      <x:c r="U99" s="30" t="n">
        <x:v>1</x:v>
      </x:c>
      <x:c r="V99" s="30" t="str">
        <x:v>3030</x:v>
      </x:c>
    </x:row>
    <x:row r="100">
      <x:c r="A100" s="29" t="str">
        <x:v>10300000</x:v>
      </x:c>
      <x:c r="B100" s="30" t="str">
        <x:v>PFAU/66D</x:v>
      </x:c>
      <x:c r="C100" s="30" t="str">
        <x:v>Available</x:v>
      </x:c>
      <x:c r="D100" s="30" t="str">
        <x:v>PULSE MISSILE LAUNCHER - PFAU/66D (Right)</x:v>
      </x:c>
      <x:c r="E100" s="30" t="n">
        <x:v>1</x:v>
      </x:c>
      <x:c r="F100" s="30" t="n">
        <x:v>3630</x:v>
      </x:c>
      <x:c r="G100" s="30" t="n">
        <x:v>392</x:v>
      </x:c>
      <x:c r="H100" s="30" t="n">
        <x:v>1</x:v>
      </x:c>
      <x:c r="I100" s="30" t="n">
        <x:v>0</x:v>
      </x:c>
      <x:c r="J100" s="30" t="n">
        <x:v>1</x:v>
      </x:c>
      <x:c r="K100" s="30" t="n">
        <x:v>1</x:v>
      </x:c>
      <x:c r="L100" s="30" t="n">
        <x:v>1</x:v>
      </x:c>
      <x:c r="M100" s="30" t="n">
        <x:v>1</x:v>
      </x:c>
      <x:c r="N100" s="30" t="n">
        <x:v>0</x:v>
      </x:c>
      <x:c r="O100" s="30" t="n">
        <x:v>228</x:v>
      </x:c>
      <x:c r="P100" s="30" t="n">
        <x:v>3.7</x:v>
      </x:c>
      <x:c r="Q100" s="30" t="n">
        <x:v>0</x:v>
      </x:c>
      <x:c r="R100" s="30" t="n">
        <x:v>1</x:v>
      </x:c>
      <x:c r="S100" s="30" t="n">
        <x:v>1</x:v>
      </x:c>
      <x:c r="T100" s="30" t="n">
        <x:v>1</x:v>
      </x:c>
      <x:c r="U100" s="30" t="n">
        <x:v>1</x:v>
      </x:c>
      <x:c r="V100" s="30" t="str">
        <x:v>4360</x:v>
      </x:c>
    </x:row>
    <x:row r="101">
      <x:c r="A101" s="29" t="str">
        <x:v>15000000</x:v>
      </x:c>
      <x:c r="B101" s="30" t="str">
        <x:v>MA-J-200 RANSETSU-RF</x:v>
      </x:c>
      <x:c r="C101" s="30" t="str">
        <x:v>Available</x:v>
      </x:c>
      <x:c r="D101" s="30" t="str">
        <x:v>BURST RIFLE - MA-J-200 RANSETSU-RF (Left)</x:v>
      </x:c>
      <x:c r="E101" s="30" t="n">
        <x:v>1</x:v>
      </x:c>
      <x:c r="F101" s="30" t="n">
        <x:v>4210</x:v>
      </x:c>
      <x:c r="G101" s="30" t="n">
        <x:v>158</x:v>
      </x:c>
      <x:c r="H101" s="30" t="n">
        <x:v>0</x:v>
      </x:c>
      <x:c r="I101" s="30" t="n">
        <x:v>0</x:v>
      </x:c>
      <x:c r="J101" s="30" t="n">
        <x:v>0</x:v>
      </x:c>
      <x:c r="K101" s="30" t="n">
        <x:v>0</x:v>
      </x:c>
      <x:c r="L101" s="30" t="n">
        <x:v>0</x:v>
      </x:c>
      <x:c r="M101" s="30" t="n">
        <x:v>0</x:v>
      </x:c>
      <x:c r="N101" s="30" t="n">
        <x:v>0</x:v>
      </x:c>
      <x:c r="O101" s="30" t="n">
        <x:v>375</x:v>
      </x:c>
      <x:c r="P101" s="30" t="n">
        <x:v>1.8</x:v>
      </x:c>
      <x:c r="Q101" s="30" t="n">
        <x:v>0</x:v>
      </x:c>
      <x:c r="R101" s="30" t="n">
        <x:v>0</x:v>
      </x:c>
      <x:c r="S101" s="30" t="n">
        <x:v>0</x:v>
      </x:c>
      <x:c r="T101" s="30" t="n">
        <x:v>0</x:v>
      </x:c>
      <x:c r="U101" s="30" t="n">
        <x:v>1</x:v>
      </x:c>
      <x:c r="V101" s="30" t="str">
        <x:v>1610</x:v>
      </x:c>
    </x:row>
    <x:row r="102">
      <x:c r="A102" s="29" t="str">
        <x:v>15000100</x:v>
      </x:c>
      <x:c r="B102" s="30" t="str">
        <x:v>LR-036 CURTIS</x:v>
      </x:c>
      <x:c r="C102" s="30" t="str">
        <x:v>Available</x:v>
      </x:c>
      <x:c r="D102" s="30" t="str">
        <x:v>LINEAR RIFLE - LR-036 CURTIS (Left)</x:v>
      </x:c>
      <x:c r="E102" s="30" t="n">
        <x:v>1</x:v>
      </x:c>
      <x:c r="F102" s="30" t="n">
        <x:v>4150</x:v>
      </x:c>
      <x:c r="G102" s="30" t="n">
        <x:v>289</x:v>
      </x:c>
      <x:c r="H102" s="30" t="n">
        <x:v>0</x:v>
      </x:c>
      <x:c r="I102" s="30" t="n">
        <x:v>0</x:v>
      </x:c>
      <x:c r="J102" s="30" t="n">
        <x:v>0</x:v>
      </x:c>
      <x:c r="K102" s="30" t="n">
        <x:v>0</x:v>
      </x:c>
      <x:c r="L102" s="30" t="n">
        <x:v>0</x:v>
      </x:c>
      <x:c r="M102" s="30" t="n">
        <x:v>0</x:v>
      </x:c>
      <x:c r="N102" s="30" t="n">
        <x:v>0</x:v>
      </x:c>
      <x:c r="O102" s="30" t="n">
        <x:v>420</x:v>
      </x:c>
      <x:c r="P102" s="30" t="n">
        <x:v>2.2</x:v>
      </x:c>
      <x:c r="Q102" s="30" t="n">
        <x:v>0</x:v>
      </x:c>
      <x:c r="R102" s="30" t="n">
        <x:v>0</x:v>
      </x:c>
      <x:c r="S102" s="30" t="n">
        <x:v>0</x:v>
      </x:c>
      <x:c r="T102" s="30" t="n">
        <x:v>0</x:v>
      </x:c>
      <x:c r="U102" s="30" t="n">
        <x:v>1</x:v>
      </x:c>
      <x:c r="V102" s="30" t="str">
        <x:v>1620</x:v>
      </x:c>
    </x:row>
    <x:row r="103">
      <x:c r="A103" s="29" t="str">
        <x:v>15000200</x:v>
      </x:c>
      <x:c r="B103" s="30" t="str">
        <x:v>LR-037 HARRIS</x:v>
      </x:c>
      <x:c r="C103" s="30" t="str">
        <x:v>Available</x:v>
      </x:c>
      <x:c r="D103" s="30" t="str">
        <x:v>LINEAR RIFLE - LR-037 HARRIS (Left)</x:v>
      </x:c>
      <x:c r="E103" s="30" t="n">
        <x:v>1</x:v>
      </x:c>
      <x:c r="F103" s="30" t="n">
        <x:v>4840</x:v>
      </x:c>
      <x:c r="G103" s="30" t="n">
        <x:v>441</x:v>
      </x:c>
      <x:c r="H103" s="30" t="n">
        <x:v>0</x:v>
      </x:c>
      <x:c r="I103" s="30" t="n">
        <x:v>0</x:v>
      </x:c>
      <x:c r="J103" s="30" t="n">
        <x:v>0</x:v>
      </x:c>
      <x:c r="K103" s="30" t="n">
        <x:v>0</x:v>
      </x:c>
      <x:c r="L103" s="30" t="n">
        <x:v>0</x:v>
      </x:c>
      <x:c r="M103" s="30" t="n">
        <x:v>0</x:v>
      </x:c>
      <x:c r="N103" s="30" t="n">
        <x:v>0</x:v>
      </x:c>
      <x:c r="O103" s="30" t="n">
        <x:v>360</x:v>
      </x:c>
      <x:c r="P103" s="30" t="n">
        <x:v>3</x:v>
      </x:c>
      <x:c r="Q103" s="30" t="n">
        <x:v>0</x:v>
      </x:c>
      <x:c r="R103" s="30" t="n">
        <x:v>0</x:v>
      </x:c>
      <x:c r="S103" s="30" t="n">
        <x:v>0</x:v>
      </x:c>
      <x:c r="T103" s="30" t="n">
        <x:v>0</x:v>
      </x:c>
      <x:c r="U103" s="30" t="n">
        <x:v>1</x:v>
      </x:c>
      <x:c r="V103" s="30" t="str">
        <x:v>1630</x:v>
      </x:c>
    </x:row>
    <x:row r="104">
      <x:c r="A104" s="29" t="str">
        <x:v>15010000</x:v>
      </x:c>
      <x:c r="B104" s="30" t="str">
        <x:v>MA-J-201 RANSETSU-AR</x:v>
      </x:c>
      <x:c r="C104" s="30" t="str">
        <x:v>Available</x:v>
      </x:c>
      <x:c r="D104" s="30" t="str">
        <x:v>BURST ASSAULT RIFLE - MA-J-201 RANSETSU-AR (Left)</x:v>
      </x:c>
      <x:c r="E104" s="30" t="n">
        <x:v>1</x:v>
      </x:c>
      <x:c r="F104" s="30" t="n">
        <x:v>3620</x:v>
      </x:c>
      <x:c r="G104" s="30" t="n">
        <x:v>132</x:v>
      </x:c>
      <x:c r="H104" s="30" t="n">
        <x:v>0</x:v>
      </x:c>
      <x:c r="I104" s="30" t="n">
        <x:v>0</x:v>
      </x:c>
      <x:c r="J104" s="30" t="n">
        <x:v>0</x:v>
      </x:c>
      <x:c r="K104" s="30" t="n">
        <x:v>0</x:v>
      </x:c>
      <x:c r="L104" s="30" t="n">
        <x:v>0</x:v>
      </x:c>
      <x:c r="M104" s="30" t="n">
        <x:v>0</x:v>
      </x:c>
      <x:c r="N104" s="30" t="n">
        <x:v>0</x:v>
      </x:c>
      <x:c r="O104" s="30" t="n">
        <x:v>450</x:v>
      </x:c>
      <x:c r="P104" s="30" t="n">
        <x:v>1.9</x:v>
      </x:c>
      <x:c r="Q104" s="30" t="n">
        <x:v>0</x:v>
      </x:c>
      <x:c r="R104" s="30" t="n">
        <x:v>0</x:v>
      </x:c>
      <x:c r="S104" s="30" t="n">
        <x:v>0</x:v>
      </x:c>
      <x:c r="T104" s="30" t="n">
        <x:v>0</x:v>
      </x:c>
      <x:c r="U104" s="30" t="n">
        <x:v>1</x:v>
      </x:c>
      <x:c r="V104" s="30" t="str">
        <x:v>1710</x:v>
      </x:c>
    </x:row>
    <x:row r="105">
      <x:c r="A105" s="29" t="str">
        <x:v>15010100</x:v>
      </x:c>
      <x:c r="B105" s="30" t="str">
        <x:v>RF-024 TURNER</x:v>
      </x:c>
      <x:c r="C105" s="30" t="str">
        <x:v>Available</x:v>
      </x:c>
      <x:c r="D105" s="30" t="str">
        <x:v>ASSAULT RIFLE - RF-024 TURNER (Left)</x:v>
      </x:c>
      <x:c r="E105" s="30" t="n">
        <x:v>1</x:v>
      </x:c>
      <x:c r="F105" s="30" t="n">
        <x:v>3560</x:v>
      </x:c>
      <x:c r="G105" s="30" t="n">
        <x:v>102</x:v>
      </x:c>
      <x:c r="H105" s="30" t="n">
        <x:v>0</x:v>
      </x:c>
      <x:c r="I105" s="30" t="n">
        <x:v>0</x:v>
      </x:c>
      <x:c r="J105" s="30" t="n">
        <x:v>0</x:v>
      </x:c>
      <x:c r="K105" s="30" t="n">
        <x:v>0</x:v>
      </x:c>
      <x:c r="L105" s="30" t="n">
        <x:v>0</x:v>
      </x:c>
      <x:c r="M105" s="30" t="n">
        <x:v>0</x:v>
      </x:c>
      <x:c r="N105" s="30" t="n">
        <x:v>0</x:v>
      </x:c>
      <x:c r="O105" s="30" t="n">
        <x:v>540</x:v>
      </x:c>
      <x:c r="P105" s="30" t="n">
        <x:v>2.2</x:v>
      </x:c>
      <x:c r="Q105" s="30" t="n">
        <x:v>0</x:v>
      </x:c>
      <x:c r="R105" s="30" t="n">
        <x:v>0</x:v>
      </x:c>
      <x:c r="S105" s="30" t="n">
        <x:v>0</x:v>
      </x:c>
      <x:c r="T105" s="30" t="n">
        <x:v>0</x:v>
      </x:c>
      <x:c r="U105" s="30" t="n">
        <x:v>1</x:v>
      </x:c>
      <x:c r="V105" s="30" t="str">
        <x:v>1720</x:v>
      </x:c>
    </x:row>
    <x:row r="106">
      <x:c r="A106" s="29" t="str">
        <x:v>15010200</x:v>
      </x:c>
      <x:c r="B106" s="30" t="str">
        <x:v>RF-025 SCUDDER</x:v>
      </x:c>
      <x:c r="C106" s="30" t="str">
        <x:v>Available</x:v>
      </x:c>
      <x:c r="D106" s="30" t="str">
        <x:v>ASSAULT RIFLE - RF-025 SCUDDER (Left)</x:v>
      </x:c>
      <x:c r="E106" s="30" t="n">
        <x:v>1</x:v>
      </x:c>
      <x:c r="F106" s="30" t="n">
        <x:v>3830</x:v>
      </x:c>
      <x:c r="G106" s="30" t="n">
        <x:v>153</x:v>
      </x:c>
      <x:c r="H106" s="30" t="n">
        <x:v>0</x:v>
      </x:c>
      <x:c r="I106" s="30" t="n">
        <x:v>0</x:v>
      </x:c>
      <x:c r="J106" s="30" t="n">
        <x:v>0</x:v>
      </x:c>
      <x:c r="K106" s="30" t="n">
        <x:v>0</x:v>
      </x:c>
      <x:c r="L106" s="30" t="n">
        <x:v>0</x:v>
      </x:c>
      <x:c r="M106" s="30" t="n">
        <x:v>0</x:v>
      </x:c>
      <x:c r="N106" s="30" t="n">
        <x:v>0</x:v>
      </x:c>
      <x:c r="O106" s="30" t="n">
        <x:v>450</x:v>
      </x:c>
      <x:c r="P106" s="30" t="n">
        <x:v>2.4</x:v>
      </x:c>
      <x:c r="Q106" s="30" t="n">
        <x:v>0</x:v>
      </x:c>
      <x:c r="R106" s="30" t="n">
        <x:v>0</x:v>
      </x:c>
      <x:c r="S106" s="30" t="n">
        <x:v>0</x:v>
      </x:c>
      <x:c r="T106" s="30" t="n">
        <x:v>0</x:v>
      </x:c>
      <x:c r="U106" s="30" t="n">
        <x:v>1</x:v>
      </x:c>
      <x:c r="V106" s="30" t="str">
        <x:v>1730</x:v>
      </x:c>
    </x:row>
    <x:row r="107">
      <x:c r="A107" s="29" t="str">
        <x:v>15020000</x:v>
      </x:c>
      <x:c r="B107" s="30" t="str">
        <x:v>MA-E-210 ETSUJIN</x:v>
      </x:c>
      <x:c r="C107" s="30" t="str">
        <x:v>Available</x:v>
      </x:c>
      <x:c r="D107" s="30" t="str">
        <x:v>BURST MACHINE GUN - MA-E-210 ETSUJIN (Left)</x:v>
      </x:c>
      <x:c r="E107" s="30" t="n">
        <x:v>1</x:v>
      </x:c>
      <x:c r="F107" s="30" t="n">
        <x:v>2810</x:v>
      </x:c>
      <x:c r="G107" s="30" t="n">
        <x:v>98</x:v>
      </x:c>
      <x:c r="H107" s="30" t="n">
        <x:v>0</x:v>
      </x:c>
      <x:c r="I107" s="30" t="n">
        <x:v>0</x:v>
      </x:c>
      <x:c r="J107" s="30" t="n">
        <x:v>0</x:v>
      </x:c>
      <x:c r="K107" s="30" t="n">
        <x:v>0</x:v>
      </x:c>
      <x:c r="L107" s="30" t="n">
        <x:v>0</x:v>
      </x:c>
      <x:c r="M107" s="30" t="n">
        <x:v>0</x:v>
      </x:c>
      <x:c r="N107" s="30" t="n">
        <x:v>0</x:v>
      </x:c>
      <x:c r="O107" s="30" t="n">
        <x:v>700</x:v>
      </x:c>
      <x:c r="P107" s="30" t="n">
        <x:v>1.5</x:v>
      </x:c>
      <x:c r="Q107" s="30" t="n">
        <x:v>0</x:v>
      </x:c>
      <x:c r="R107" s="30" t="n">
        <x:v>0</x:v>
      </x:c>
      <x:c r="S107" s="30" t="n">
        <x:v>0</x:v>
      </x:c>
      <x:c r="T107" s="30" t="n">
        <x:v>0</x:v>
      </x:c>
      <x:c r="U107" s="30" t="n">
        <x:v>1</x:v>
      </x:c>
      <x:c r="V107" s="30" t="str">
        <x:v>1810</x:v>
      </x:c>
    </x:row>
    <x:row r="108">
      <x:c r="A108" s="29" t="str">
        <x:v>15020100</x:v>
      </x:c>
      <x:c r="B108" s="30" t="str">
        <x:v>MG-014 LUDLOW</x:v>
      </x:c>
      <x:c r="C108" s="30" t="str">
        <x:v>Available</x:v>
      </x:c>
      <x:c r="D108" s="30" t="str">
        <x:v>MACHINE GUN - MG-014 LUDLOW (Left)</x:v>
      </x:c>
      <x:c r="E108" s="30" t="n">
        <x:v>1</x:v>
      </x:c>
      <x:c r="F108" s="30" t="n">
        <x:v>2350</x:v>
      </x:c>
      <x:c r="G108" s="30" t="n">
        <x:v>82</x:v>
      </x:c>
      <x:c r="H108" s="30" t="n">
        <x:v>0</x:v>
      </x:c>
      <x:c r="I108" s="30" t="n">
        <x:v>0</x:v>
      </x:c>
      <x:c r="J108" s="30" t="n">
        <x:v>0</x:v>
      </x:c>
      <x:c r="K108" s="30" t="n">
        <x:v>0</x:v>
      </x:c>
      <x:c r="L108" s="30" t="n">
        <x:v>0</x:v>
      </x:c>
      <x:c r="M108" s="30" t="n">
        <x:v>0</x:v>
      </x:c>
      <x:c r="N108" s="30" t="n">
        <x:v>0</x:v>
      </x:c>
      <x:c r="O108" s="30" t="n">
        <x:v>720</x:v>
      </x:c>
      <x:c r="P108" s="30" t="n">
        <x:v>1.5</x:v>
      </x:c>
      <x:c r="Q108" s="30" t="n">
        <x:v>0</x:v>
      </x:c>
      <x:c r="R108" s="30" t="n">
        <x:v>0</x:v>
      </x:c>
      <x:c r="S108" s="30" t="n">
        <x:v>0</x:v>
      </x:c>
      <x:c r="T108" s="30" t="n">
        <x:v>0</x:v>
      </x:c>
      <x:c r="U108" s="30" t="n">
        <x:v>1</x:v>
      </x:c>
      <x:c r="V108" s="30" t="str">
        <x:v>1820</x:v>
      </x:c>
    </x:row>
    <x:row r="109">
      <x:c r="A109" s="29" t="str">
        <x:v>15020200</x:v>
      </x:c>
      <x:c r="B109" s="30" t="str">
        <x:v>DF-MG-02 CHANG-CHEN</x:v>
      </x:c>
      <x:c r="C109" s="30" t="str">
        <x:v>Available</x:v>
      </x:c>
      <x:c r="D109" s="30" t="str">
        <x:v>MACHINE GUN - DF-MG-02 CHANG-CHEN (Left)</x:v>
      </x:c>
      <x:c r="E109" s="30" t="n">
        <x:v>1</x:v>
      </x:c>
      <x:c r="F109" s="30" t="n">
        <x:v>3280</x:v>
      </x:c>
      <x:c r="G109" s="30" t="n">
        <x:v>143</x:v>
      </x:c>
      <x:c r="H109" s="30" t="n">
        <x:v>0</x:v>
      </x:c>
      <x:c r="I109" s="30" t="n">
        <x:v>0</x:v>
      </x:c>
      <x:c r="J109" s="30" t="n">
        <x:v>0</x:v>
      </x:c>
      <x:c r="K109" s="30" t="n">
        <x:v>0</x:v>
      </x:c>
      <x:c r="L109" s="30" t="n">
        <x:v>0</x:v>
      </x:c>
      <x:c r="M109" s="30" t="n">
        <x:v>0</x:v>
      </x:c>
      <x:c r="N109" s="30" t="n">
        <x:v>0</x:v>
      </x:c>
      <x:c r="O109" s="30" t="n">
        <x:v>990</x:v>
      </x:c>
      <x:c r="P109" s="30" t="n">
        <x:v>2.2</x:v>
      </x:c>
      <x:c r="Q109" s="30" t="n">
        <x:v>0</x:v>
      </x:c>
      <x:c r="R109" s="30" t="n">
        <x:v>0</x:v>
      </x:c>
      <x:c r="S109" s="30" t="n">
        <x:v>0</x:v>
      </x:c>
      <x:c r="T109" s="30" t="n">
        <x:v>0</x:v>
      </x:c>
      <x:c r="U109" s="30" t="n">
        <x:v>1</x:v>
      </x:c>
      <x:c r="V109" s="30" t="str">
        <x:v>1830</x:v>
      </x:c>
    </x:row>
    <x:row r="110">
      <x:c r="A110" s="29" t="str">
        <x:v>15020300</x:v>
      </x:c>
      <x:c r="B110" s="30" t="str">
        <x:v>WR-0555 ATTACHE</x:v>
      </x:c>
      <x:c r="C110" s="30" t="str">
        <x:v>Available</x:v>
      </x:c>
      <x:c r="D110" s="30" t="str">
        <x:v>HEAVY MACHINE GUN - WR-0555 ATTACHE (Left)</x:v>
      </x:c>
      <x:c r="E110" s="30" t="n">
        <x:v>1</x:v>
      </x:c>
      <x:c r="F110" s="30" t="n">
        <x:v>5110</x:v>
      </x:c>
      <x:c r="G110" s="30" t="n">
        <x:v>303</x:v>
      </x:c>
      <x:c r="H110" s="30" t="n">
        <x:v>0</x:v>
      </x:c>
      <x:c r="I110" s="30" t="n">
        <x:v>0</x:v>
      </x:c>
      <x:c r="J110" s="30" t="n">
        <x:v>0</x:v>
      </x:c>
      <x:c r="K110" s="30" t="n">
        <x:v>0</x:v>
      </x:c>
      <x:c r="L110" s="30" t="n">
        <x:v>0</x:v>
      </x:c>
      <x:c r="M110" s="30" t="n">
        <x:v>0</x:v>
      </x:c>
      <x:c r="N110" s="30" t="n">
        <x:v>0</x:v>
      </x:c>
      <x:c r="O110" s="30" t="n">
        <x:v>920</x:v>
      </x:c>
      <x:c r="P110" s="30" t="n">
        <x:v>2.1</x:v>
      </x:c>
      <x:c r="Q110" s="30" t="n">
        <x:v>0</x:v>
      </x:c>
      <x:c r="R110" s="30" t="n">
        <x:v>0</x:v>
      </x:c>
      <x:c r="S110" s="30" t="n">
        <x:v>0</x:v>
      </x:c>
      <x:c r="T110" s="30" t="n">
        <x:v>0</x:v>
      </x:c>
      <x:c r="U110" s="30" t="n">
        <x:v>1</x:v>
      </x:c>
      <x:c r="V110" s="30" t="str">
        <x:v>1840</x:v>
      </x:c>
    </x:row>
    <x:row r="111">
      <x:c r="A111" s="29" t="str">
        <x:v>15030000</x:v>
      </x:c>
      <x:c r="B111" s="30" t="str">
        <x:v>DF-GA-08 HU-BEN</x:v>
      </x:c>
      <x:c r="C111" s="30" t="str">
        <x:v>Available</x:v>
      </x:c>
      <x:c r="D111" s="30" t="str">
        <x:v>GATLING GUN - DF-GA-08 HU-BEN (Left)</x:v>
      </x:c>
      <x:c r="E111" s="30" t="n">
        <x:v>1</x:v>
      </x:c>
      <x:c r="F111" s="30" t="n">
        <x:v>5800</x:v>
      </x:c>
      <x:c r="G111" s="30" t="n">
        <x:v>425</x:v>
      </x:c>
      <x:c r="H111" s="30" t="n">
        <x:v>0</x:v>
      </x:c>
      <x:c r="I111" s="30" t="n">
        <x:v>0</x:v>
      </x:c>
      <x:c r="J111" s="30" t="n">
        <x:v>0</x:v>
      </x:c>
      <x:c r="K111" s="30" t="n">
        <x:v>0</x:v>
      </x:c>
      <x:c r="L111" s="30" t="n">
        <x:v>0</x:v>
      </x:c>
      <x:c r="M111" s="30" t="n">
        <x:v>0</x:v>
      </x:c>
      <x:c r="N111" s="30" t="n">
        <x:v>0</x:v>
      </x:c>
      <x:c r="O111" s="30" t="n">
        <x:v>1300</x:v>
      </x:c>
      <x:c r="P111" s="30" t="n">
        <x:v>0</x:v>
      </x:c>
      <x:c r="Q111" s="30" t="n">
        <x:v>0</x:v>
      </x:c>
      <x:c r="R111" s="30" t="n">
        <x:v>0</x:v>
      </x:c>
      <x:c r="S111" s="30" t="n">
        <x:v>0</x:v>
      </x:c>
      <x:c r="T111" s="30" t="n">
        <x:v>0</x:v>
      </x:c>
      <x:c r="U111" s="30" t="n">
        <x:v>1</x:v>
      </x:c>
      <x:c r="V111" s="30" t="str">
        <x:v>1910</x:v>
      </x:c>
    </x:row>
    <x:row r="112">
      <x:c r="A112" s="29" t="str">
        <x:v>15040000</x:v>
      </x:c>
      <x:c r="B112" s="30" t="str">
        <x:v>LITTLE GEM</x:v>
      </x:c>
      <x:c r="C112" s="30" t="str">
        <x:v>Available</x:v>
      </x:c>
      <x:c r="D112" s="30" t="str">
        <x:v>BAZOOKA - LITTLE GEM (Left)</x:v>
      </x:c>
      <x:c r="E112" s="30" t="n">
        <x:v>1</x:v>
      </x:c>
      <x:c r="F112" s="30" t="n">
        <x:v>2940</x:v>
      </x:c>
      <x:c r="G112" s="30" t="n">
        <x:v>169</x:v>
      </x:c>
      <x:c r="H112" s="30" t="n">
        <x:v>4</x:v>
      </x:c>
      <x:c r="I112" s="30" t="n">
        <x:v>4</x:v>
      </x:c>
      <x:c r="J112" s="30" t="n">
        <x:v>4</x:v>
      </x:c>
      <x:c r="K112" s="30" t="n">
        <x:v>4</x:v>
      </x:c>
      <x:c r="L112" s="30" t="n">
        <x:v>4</x:v>
      </x:c>
      <x:c r="M112" s="30" t="n">
        <x:v>4</x:v>
      </x:c>
      <x:c r="N112" s="30" t="n">
        <x:v>1</x:v>
      </x:c>
      <x:c r="O112" s="30" t="n">
        <x:v>36</x:v>
      </x:c>
      <x:c r="P112" s="30" t="n">
        <x:v>4.4</x:v>
      </x:c>
      <x:c r="Q112" s="30" t="n">
        <x:v>0</x:v>
      </x:c>
      <x:c r="R112" s="30" t="n">
        <x:v>0</x:v>
      </x:c>
      <x:c r="S112" s="30" t="n">
        <x:v>0</x:v>
      </x:c>
      <x:c r="T112" s="30" t="n">
        <x:v>0</x:v>
      </x:c>
      <x:c r="U112" s="30" t="n">
        <x:v>1</x:v>
      </x:c>
      <x:c r="V112" s="30" t="str">
        <x:v>1410</x:v>
      </x:c>
    </x:row>
    <x:row r="113">
      <x:c r="A113" s="29" t="str">
        <x:v>15040100</x:v>
      </x:c>
      <x:c r="B113" s="30" t="str">
        <x:v>MAJESTIC</x:v>
      </x:c>
      <x:c r="C113" s="30" t="str">
        <x:v>Available</x:v>
      </x:c>
      <x:c r="D113" s="30" t="str">
        <x:v>BAZOOKA - MAJESTIC (Left)</x:v>
      </x:c>
      <x:c r="E113" s="30" t="n">
        <x:v>1</x:v>
      </x:c>
      <x:c r="F113" s="30" t="n">
        <x:v>4660</x:v>
      </x:c>
      <x:c r="G113" s="30" t="n">
        <x:v>178</x:v>
      </x:c>
      <x:c r="H113" s="30" t="n">
        <x:v>4</x:v>
      </x:c>
      <x:c r="I113" s="30" t="n">
        <x:v>4</x:v>
      </x:c>
      <x:c r="J113" s="30" t="n">
        <x:v>4</x:v>
      </x:c>
      <x:c r="K113" s="30" t="n">
        <x:v>4</x:v>
      </x:c>
      <x:c r="L113" s="30" t="n">
        <x:v>4</x:v>
      </x:c>
      <x:c r="M113" s="30" t="n">
        <x:v>4</x:v>
      </x:c>
      <x:c r="N113" s="30" t="n">
        <x:v>1</x:v>
      </x:c>
      <x:c r="O113" s="30" t="n">
        <x:v>52</x:v>
      </x:c>
      <x:c r="P113" s="30" t="n">
        <x:v>4.2</x:v>
      </x:c>
      <x:c r="Q113" s="30" t="n">
        <x:v>0</x:v>
      </x:c>
      <x:c r="R113" s="30" t="n">
        <x:v>0</x:v>
      </x:c>
      <x:c r="S113" s="30" t="n">
        <x:v>0</x:v>
      </x:c>
      <x:c r="T113" s="30" t="n">
        <x:v>0</x:v>
      </x:c>
      <x:c r="U113" s="30" t="n">
        <x:v>1</x:v>
      </x:c>
      <x:c r="V113" s="30" t="str">
        <x:v>1420</x:v>
      </x:c>
    </x:row>
    <x:row r="114">
      <x:c r="A114" s="29" t="str">
        <x:v>15040200</x:v>
      </x:c>
      <x:c r="B114" s="30" t="str">
        <x:v>DF-BA-06 XUAN-GE</x:v>
      </x:c>
      <x:c r="C114" s="30" t="str">
        <x:v>Available</x:v>
      </x:c>
      <x:c r="D114" s="30" t="str">
        <x:v>BAZOOKA - DF-BA-06 XUAN-GE (Left)</x:v>
      </x:c>
      <x:c r="E114" s="30" t="n">
        <x:v>1</x:v>
      </x:c>
      <x:c r="F114" s="30" t="n">
        <x:v>5480</x:v>
      </x:c>
      <x:c r="G114" s="30" t="n">
        <x:v>240</x:v>
      </x:c>
      <x:c r="H114" s="30" t="n">
        <x:v>4</x:v>
      </x:c>
      <x:c r="I114" s="30" t="n">
        <x:v>4</x:v>
      </x:c>
      <x:c r="J114" s="30" t="n">
        <x:v>4</x:v>
      </x:c>
      <x:c r="K114" s="30" t="n">
        <x:v>4</x:v>
      </x:c>
      <x:c r="L114" s="30" t="n">
        <x:v>4</x:v>
      </x:c>
      <x:c r="M114" s="30" t="n">
        <x:v>4</x:v>
      </x:c>
      <x:c r="N114" s="30" t="n">
        <x:v>1</x:v>
      </x:c>
      <x:c r="O114" s="30" t="n">
        <x:v>78</x:v>
      </x:c>
      <x:c r="P114" s="30" t="n">
        <x:v>3.4</x:v>
      </x:c>
      <x:c r="Q114" s="30" t="n">
        <x:v>0</x:v>
      </x:c>
      <x:c r="R114" s="30" t="n">
        <x:v>0</x:v>
      </x:c>
      <x:c r="S114" s="30" t="n">
        <x:v>0</x:v>
      </x:c>
      <x:c r="T114" s="30" t="n">
        <x:v>0</x:v>
      </x:c>
      <x:c r="U114" s="30" t="n">
        <x:v>1</x:v>
      </x:c>
      <x:c r="V114" s="30" t="str">
        <x:v>1430</x:v>
      </x:c>
    </x:row>
    <x:row r="115">
      <x:c r="A115" s="29" t="str">
        <x:v>15050000</x:v>
      </x:c>
      <x:c r="B115" s="30" t="str">
        <x:v>WR-0777 SWEET SIXTEEN</x:v>
      </x:c>
      <x:c r="C115" s="30" t="str">
        <x:v>Available</x:v>
      </x:c>
      <x:c r="D115" s="30" t="str">
        <x:v>SHOTGUN - WR-0777 SWEET SIXTEEN (Left)</x:v>
      </x:c>
      <x:c r="E115" s="30" t="n">
        <x:v>1</x:v>
      </x:c>
      <x:c r="F115" s="30" t="n">
        <x:v>1640</x:v>
      </x:c>
      <x:c r="G115" s="30" t="n">
        <x:v>268</x:v>
      </x:c>
      <x:c r="H115" s="30" t="n">
        <x:v>0</x:v>
      </x:c>
      <x:c r="I115" s="30" t="n">
        <x:v>0</x:v>
      </x:c>
      <x:c r="J115" s="30" t="n">
        <x:v>0</x:v>
      </x:c>
      <x:c r="K115" s="30" t="n">
        <x:v>0</x:v>
      </x:c>
      <x:c r="L115" s="30" t="n">
        <x:v>0</x:v>
      </x:c>
      <x:c r="M115" s="30" t="n">
        <x:v>0</x:v>
      </x:c>
      <x:c r="N115" s="30" t="n">
        <x:v>0</x:v>
      </x:c>
      <x:c r="O115" s="30" t="n">
        <x:v>546</x:v>
      </x:c>
      <x:c r="P115" s="30" t="n">
        <x:v>3</x:v>
      </x:c>
      <x:c r="Q115" s="30" t="n">
        <x:v>0</x:v>
      </x:c>
      <x:c r="R115" s="30" t="n">
        <x:v>0</x:v>
      </x:c>
      <x:c r="S115" s="30" t="n">
        <x:v>0</x:v>
      </x:c>
      <x:c r="T115" s="30" t="n">
        <x:v>0</x:v>
      </x:c>
      <x:c r="U115" s="30" t="n">
        <x:v>1</x:v>
      </x:c>
      <x:c r="V115" s="30" t="str">
        <x:v>1510</x:v>
      </x:c>
    </x:row>
    <x:row r="116">
      <x:c r="A116" s="29" t="str">
        <x:v>15050100</x:v>
      </x:c>
      <x:c r="B116" s="30" t="str">
        <x:v>SG-026 HALDEMAN</x:v>
      </x:c>
      <x:c r="C116" s="30" t="str">
        <x:v>Available</x:v>
      </x:c>
      <x:c r="D116" s="30" t="str">
        <x:v>SHOTGUN - SG-026 HALDEMAN (Left)</x:v>
      </x:c>
      <x:c r="E116" s="30" t="n">
        <x:v>1</x:v>
      </x:c>
      <x:c r="F116" s="30" t="n">
        <x:v>3660</x:v>
      </x:c>
      <x:c r="G116" s="30" t="n">
        <x:v>185</x:v>
      </x:c>
      <x:c r="H116" s="30" t="n">
        <x:v>0</x:v>
      </x:c>
      <x:c r="I116" s="30" t="n">
        <x:v>0</x:v>
      </x:c>
      <x:c r="J116" s="30" t="n">
        <x:v>0</x:v>
      </x:c>
      <x:c r="K116" s="30" t="n">
        <x:v>0</x:v>
      </x:c>
      <x:c r="L116" s="30" t="n">
        <x:v>0</x:v>
      </x:c>
      <x:c r="M116" s="30" t="n">
        <x:v>0</x:v>
      </x:c>
      <x:c r="N116" s="30" t="n">
        <x:v>0</x:v>
      </x:c>
      <x:c r="O116" s="30" t="n">
        <x:v>66</x:v>
      </x:c>
      <x:c r="P116" s="30" t="n">
        <x:v>1.3</x:v>
      </x:c>
      <x:c r="Q116" s="30" t="n">
        <x:v>0</x:v>
      </x:c>
      <x:c r="R116" s="30" t="n">
        <x:v>0</x:v>
      </x:c>
      <x:c r="S116" s="30" t="n">
        <x:v>0</x:v>
      </x:c>
      <x:c r="T116" s="30" t="n">
        <x:v>0</x:v>
      </x:c>
      <x:c r="U116" s="30" t="n">
        <x:v>1</x:v>
      </x:c>
      <x:c r="V116" s="30" t="str">
        <x:v>1520</x:v>
      </x:c>
    </x:row>
    <x:row r="117">
      <x:c r="A117" s="29" t="str">
        <x:v>15050200</x:v>
      </x:c>
      <x:c r="B117" s="30" t="str">
        <x:v>SG-027 ZIMMERMAN</x:v>
      </x:c>
      <x:c r="C117" s="30" t="str">
        <x:v>Available</x:v>
      </x:c>
      <x:c r="D117" s="30" t="str">
        <x:v>SHOTGUN - SG-027 ZIMMERMAN (Left)</x:v>
      </x:c>
      <x:c r="E117" s="30" t="n">
        <x:v>1</x:v>
      </x:c>
      <x:c r="F117" s="30" t="n">
        <x:v>4400</x:v>
      </x:c>
      <x:c r="G117" s="30" t="n">
        <x:v>242</x:v>
      </x:c>
      <x:c r="H117" s="30" t="n">
        <x:v>0</x:v>
      </x:c>
      <x:c r="I117" s="30" t="n">
        <x:v>0</x:v>
      </x:c>
      <x:c r="J117" s="30" t="n">
        <x:v>0</x:v>
      </x:c>
      <x:c r="K117" s="30" t="n">
        <x:v>0</x:v>
      </x:c>
      <x:c r="L117" s="30" t="n">
        <x:v>0</x:v>
      </x:c>
      <x:c r="M117" s="30" t="n">
        <x:v>0</x:v>
      </x:c>
      <x:c r="N117" s="30" t="n">
        <x:v>0</x:v>
      </x:c>
      <x:c r="O117" s="30" t="n">
        <x:v>53</x:v>
      </x:c>
      <x:c r="P117" s="30" t="n">
        <x:v>2</x:v>
      </x:c>
      <x:c r="Q117" s="30" t="n">
        <x:v>0</x:v>
      </x:c>
      <x:c r="R117" s="30" t="n">
        <x:v>0</x:v>
      </x:c>
      <x:c r="S117" s="30" t="n">
        <x:v>0</x:v>
      </x:c>
      <x:c r="T117" s="30" t="n">
        <x:v>0</x:v>
      </x:c>
      <x:c r="U117" s="30" t="n">
        <x:v>1</x:v>
      </x:c>
      <x:c r="V117" s="30" t="str">
        <x:v>1530</x:v>
      </x:c>
    </x:row>
    <x:row r="118">
      <x:c r="A118" s="29" t="str">
        <x:v>15060000</x:v>
      </x:c>
      <x:c r="B118" s="30" t="str">
        <x:v>DF-GR-07 GOU-CHEN</x:v>
      </x:c>
      <x:c r="C118" s="30" t="str">
        <x:v>Available</x:v>
      </x:c>
      <x:c r="D118" s="30" t="str">
        <x:v>GRENADE LAUNCHER - DF-GR-07 GOU-CHEN (Left)</x:v>
      </x:c>
      <x:c r="E118" s="30" t="n">
        <x:v>1</x:v>
      </x:c>
      <x:c r="F118" s="30" t="n">
        <x:v>4841</x:v>
      </x:c>
      <x:c r="G118" s="30" t="n">
        <x:v>308</x:v>
      </x:c>
      <x:c r="H118" s="30" t="n">
        <x:v>0</x:v>
      </x:c>
      <x:c r="I118" s="30" t="n">
        <x:v>0</x:v>
      </x:c>
      <x:c r="J118" s="30" t="n">
        <x:v>0</x:v>
      </x:c>
      <x:c r="K118" s="30" t="n">
        <x:v>0</x:v>
      </x:c>
      <x:c r="L118" s="30" t="n">
        <x:v>0</x:v>
      </x:c>
      <x:c r="M118" s="30" t="n">
        <x:v>0</x:v>
      </x:c>
      <x:c r="N118" s="30" t="n">
        <x:v>0</x:v>
      </x:c>
      <x:c r="O118" s="30" t="n">
        <x:v>40</x:v>
      </x:c>
      <x:c r="P118" s="30" t="n">
        <x:v>5.9</x:v>
      </x:c>
      <x:c r="Q118" s="30" t="n">
        <x:v>0</x:v>
      </x:c>
      <x:c r="R118" s="30" t="n">
        <x:v>0</x:v>
      </x:c>
      <x:c r="S118" s="30" t="n">
        <x:v>0</x:v>
      </x:c>
      <x:c r="T118" s="30" t="n">
        <x:v>0</x:v>
      </x:c>
      <x:c r="U118" s="30" t="n">
        <x:v>1</x:v>
      </x:c>
      <x:c r="V118" s="30" t="str">
        <x:v>1310</x:v>
      </x:c>
    </x:row>
    <x:row r="119">
      <x:c r="A119" s="29" t="str">
        <x:v>15060100</x:v>
      </x:c>
      <x:c r="B119" s="30" t="str">
        <x:v>DIZZY</x:v>
      </x:c>
      <x:c r="C119" s="30" t="str">
        <x:v>Available</x:v>
      </x:c>
      <x:c r="D119" s="30" t="str">
        <x:v>GRENADE LAUNCHER - DIZZY (Left)</x:v>
      </x:c>
      <x:c r="E119" s="30" t="n">
        <x:v>1</x:v>
      </x:c>
      <x:c r="F119" s="30" t="n">
        <x:v>5590</x:v>
      </x:c>
      <x:c r="G119" s="30" t="n">
        <x:v>364</x:v>
      </x:c>
      <x:c r="H119" s="30" t="n">
        <x:v>0</x:v>
      </x:c>
      <x:c r="I119" s="30" t="n">
        <x:v>0</x:v>
      </x:c>
      <x:c r="J119" s="30" t="n">
        <x:v>0</x:v>
      </x:c>
      <x:c r="K119" s="30" t="n">
        <x:v>0</x:v>
      </x:c>
      <x:c r="L119" s="30" t="n">
        <x:v>0</x:v>
      </x:c>
      <x:c r="M119" s="30" t="n">
        <x:v>0</x:v>
      </x:c>
      <x:c r="N119" s="30" t="n">
        <x:v>0</x:v>
      </x:c>
      <x:c r="O119" s="30" t="n">
        <x:v>38</x:v>
      </x:c>
      <x:c r="P119" s="30" t="n">
        <x:v>5.6</x:v>
      </x:c>
      <x:c r="Q119" s="30" t="n">
        <x:v>0</x:v>
      </x:c>
      <x:c r="R119" s="30" t="n">
        <x:v>0</x:v>
      </x:c>
      <x:c r="S119" s="30" t="n">
        <x:v>0</x:v>
      </x:c>
      <x:c r="T119" s="30" t="n">
        <x:v>0</x:v>
      </x:c>
      <x:c r="U119" s="30" t="n">
        <x:v>1</x:v>
      </x:c>
      <x:c r="V119" s="30" t="str">
        <x:v>1320</x:v>
      </x:c>
    </x:row>
    <x:row r="120">
      <x:c r="A120" s="29" t="str">
        <x:v>15070000</x:v>
      </x:c>
      <x:c r="B120" s="30" t="str">
        <x:v>EL-PW-00 VIENTO</x:v>
      </x:c>
      <x:c r="C120" s="30" t="str">
        <x:v>Available</x:v>
      </x:c>
      <x:c r="D120" s="30" t="str">
        <x:v>NEEDLE GUN - EL-PW-00 VIENTO (Left)</x:v>
      </x:c>
      <x:c r="E120" s="30" t="n">
        <x:v>1</x:v>
      </x:c>
      <x:c r="F120" s="30" t="n">
        <x:v>1180</x:v>
      </x:c>
      <x:c r="G120" s="30" t="n">
        <x:v>215</x:v>
      </x:c>
      <x:c r="H120" s="30" t="n">
        <x:v>0</x:v>
      </x:c>
      <x:c r="I120" s="30" t="n">
        <x:v>0</x:v>
      </x:c>
      <x:c r="J120" s="30" t="n">
        <x:v>0</x:v>
      </x:c>
      <x:c r="K120" s="30" t="n">
        <x:v>0</x:v>
      </x:c>
      <x:c r="L120" s="30" t="n">
        <x:v>0</x:v>
      </x:c>
      <x:c r="M120" s="30" t="n">
        <x:v>0</x:v>
      </x:c>
      <x:c r="N120" s="30" t="n">
        <x:v>0</x:v>
      </x:c>
      <x:c r="O120" s="30" t="n">
        <x:v>160</x:v>
      </x:c>
      <x:c r="P120" s="30" t="n">
        <x:v>2.4</x:v>
      </x:c>
      <x:c r="Q120" s="30" t="n">
        <x:v>0</x:v>
      </x:c>
      <x:c r="R120" s="30" t="n">
        <x:v>0</x:v>
      </x:c>
      <x:c r="S120" s="30" t="n">
        <x:v>0</x:v>
      </x:c>
      <x:c r="T120" s="30" t="n">
        <x:v>0</x:v>
      </x:c>
      <x:c r="U120" s="30" t="n">
        <x:v>1</x:v>
      </x:c>
      <x:c r="V120" s="30" t="str">
        <x:v>2010</x:v>
      </x:c>
    </x:row>
    <x:row r="121">
      <x:c r="A121" s="29" t="str">
        <x:v>15070100</x:v>
      </x:c>
      <x:c r="B121" s="30" t="str">
        <x:v>MA-E-211 SAMPU</x:v>
      </x:c>
      <x:c r="C121" s="30" t="str">
        <x:v>Available</x:v>
      </x:c>
      <x:c r="D121" s="30" t="str">
        <x:v>BURST HANDGUN - MA-E-211 SAMPU (Left)</x:v>
      </x:c>
      <x:c r="E121" s="30" t="n">
        <x:v>1</x:v>
      </x:c>
      <x:c r="F121" s="30" t="n">
        <x:v>960</x:v>
      </x:c>
      <x:c r="G121" s="30" t="n">
        <x:v>62</x:v>
      </x:c>
      <x:c r="H121" s="30" t="n">
        <x:v>0</x:v>
      </x:c>
      <x:c r="I121" s="30" t="n">
        <x:v>0</x:v>
      </x:c>
      <x:c r="J121" s="30" t="n">
        <x:v>0</x:v>
      </x:c>
      <x:c r="K121" s="30" t="n">
        <x:v>0</x:v>
      </x:c>
      <x:c r="L121" s="30" t="n">
        <x:v>0</x:v>
      </x:c>
      <x:c r="M121" s="30" t="n">
        <x:v>0</x:v>
      </x:c>
      <x:c r="N121" s="30" t="n">
        <x:v>0</x:v>
      </x:c>
      <x:c r="O121" s="30" t="n">
        <x:v>350</x:v>
      </x:c>
      <x:c r="P121" s="30" t="n">
        <x:v>1.9</x:v>
      </x:c>
      <x:c r="Q121" s="30" t="n">
        <x:v>0</x:v>
      </x:c>
      <x:c r="R121" s="30" t="n">
        <x:v>0</x:v>
      </x:c>
      <x:c r="S121" s="30" t="n">
        <x:v>0</x:v>
      </x:c>
      <x:c r="T121" s="30" t="n">
        <x:v>0</x:v>
      </x:c>
      <x:c r="U121" s="30" t="n">
        <x:v>1</x:v>
      </x:c>
      <x:c r="V121" s="30" t="str">
        <x:v>2020</x:v>
      </x:c>
    </x:row>
    <x:row r="122">
      <x:c r="A122" s="29" t="str">
        <x:v>15070200</x:v>
      </x:c>
      <x:c r="B122" s="30" t="str">
        <x:v>HG-003 COQUILLETT</x:v>
      </x:c>
      <x:c r="C122" s="30" t="str">
        <x:v>Available</x:v>
      </x:c>
      <x:c r="D122" s="30" t="str">
        <x:v>HANDGUN - HG-003 COQUILLETT (Left)</x:v>
      </x:c>
      <x:c r="E122" s="30" t="n">
        <x:v>1</x:v>
      </x:c>
      <x:c r="F122" s="30" t="n">
        <x:v>1200</x:v>
      </x:c>
      <x:c r="G122" s="30" t="n">
        <x:v>122</x:v>
      </x:c>
      <x:c r="H122" s="30" t="n">
        <x:v>0</x:v>
      </x:c>
      <x:c r="I122" s="30" t="n">
        <x:v>0</x:v>
      </x:c>
      <x:c r="J122" s="30" t="n">
        <x:v>0</x:v>
      </x:c>
      <x:c r="K122" s="30" t="n">
        <x:v>0</x:v>
      </x:c>
      <x:c r="L122" s="30" t="n">
        <x:v>0</x:v>
      </x:c>
      <x:c r="M122" s="30" t="n">
        <x:v>0</x:v>
      </x:c>
      <x:c r="N122" s="30" t="n">
        <x:v>0</x:v>
      </x:c>
      <x:c r="O122" s="30" t="n">
        <x:v>196</x:v>
      </x:c>
      <x:c r="P122" s="30" t="n">
        <x:v>2.1</x:v>
      </x:c>
      <x:c r="Q122" s="30" t="n">
        <x:v>0</x:v>
      </x:c>
      <x:c r="R122" s="30" t="n">
        <x:v>0</x:v>
      </x:c>
      <x:c r="S122" s="30" t="n">
        <x:v>0</x:v>
      </x:c>
      <x:c r="T122" s="30" t="n">
        <x:v>0</x:v>
      </x:c>
      <x:c r="U122" s="30" t="n">
        <x:v>1</x:v>
      </x:c>
      <x:c r="V122" s="30" t="str">
        <x:v>2030</x:v>
      </x:c>
    </x:row>
    <x:row r="123">
      <x:c r="A123" s="29" t="str">
        <x:v>15070300</x:v>
      </x:c>
      <x:c r="B123" s="30" t="str">
        <x:v>HG-004 DUCKETT</x:v>
      </x:c>
      <x:c r="C123" s="30" t="str">
        <x:v>Available</x:v>
      </x:c>
      <x:c r="D123" s="30" t="str">
        <x:v>HANDGUN - HG-004 DUCKETT (Left)</x:v>
      </x:c>
      <x:c r="E123" s="30" t="n">
        <x:v>1</x:v>
      </x:c>
      <x:c r="F123" s="30" t="n">
        <x:v>1650</x:v>
      </x:c>
      <x:c r="G123" s="30" t="n">
        <x:v>158</x:v>
      </x:c>
      <x:c r="H123" s="30" t="n">
        <x:v>0</x:v>
      </x:c>
      <x:c r="I123" s="30" t="n">
        <x:v>0</x:v>
      </x:c>
      <x:c r="J123" s="30" t="n">
        <x:v>0</x:v>
      </x:c>
      <x:c r="K123" s="30" t="n">
        <x:v>0</x:v>
      </x:c>
      <x:c r="L123" s="30" t="n">
        <x:v>0</x:v>
      </x:c>
      <x:c r="M123" s="30" t="n">
        <x:v>0</x:v>
      </x:c>
      <x:c r="N123" s="30" t="n">
        <x:v>0</x:v>
      </x:c>
      <x:c r="O123" s="30" t="n">
        <x:v>208</x:v>
      </x:c>
      <x:c r="P123" s="30" t="n">
        <x:v>3</x:v>
      </x:c>
      <x:c r="Q123" s="30" t="n">
        <x:v>0</x:v>
      </x:c>
      <x:c r="R123" s="30" t="n">
        <x:v>0</x:v>
      </x:c>
      <x:c r="S123" s="30" t="n">
        <x:v>0</x:v>
      </x:c>
      <x:c r="T123" s="30" t="n">
        <x:v>0</x:v>
      </x:c>
      <x:c r="U123" s="30" t="n">
        <x:v>1</x:v>
      </x:c>
      <x:c r="V123" s="30" t="str">
        <x:v>2040</x:v>
      </x:c>
    </x:row>
    <x:row r="124">
      <x:c r="A124" s="29" t="str">
        <x:v>15080000</x:v>
      </x:c>
      <x:c r="B124" s="30" t="str">
        <x:v>MA-T-223 KYORIKU</x:v>
      </x:c>
      <x:c r="C124" s="30" t="str">
        <x:v>Available</x:v>
      </x:c>
      <x:c r="D124" s="30" t="str">
        <x:v>JAMMING BOMB LAUNCHER - MA-T-223 KYORIKU (Left)</x:v>
      </x:c>
      <x:c r="E124" s="30" t="n">
        <x:v>1</x:v>
      </x:c>
      <x:c r="F124" s="30" t="n">
        <x:v>2600</x:v>
      </x:c>
      <x:c r="G124" s="30" t="n">
        <x:v>52</x:v>
      </x:c>
      <x:c r="H124" s="30" t="n">
        <x:v>0</x:v>
      </x:c>
      <x:c r="I124" s="30" t="n">
        <x:v>0</x:v>
      </x:c>
      <x:c r="J124" s="30" t="n">
        <x:v>0</x:v>
      </x:c>
      <x:c r="K124" s="30" t="n">
        <x:v>0</x:v>
      </x:c>
      <x:c r="L124" s="30" t="n">
        <x:v>0</x:v>
      </x:c>
      <x:c r="M124" s="30" t="n">
        <x:v>0</x:v>
      </x:c>
      <x:c r="N124" s="30" t="n">
        <x:v>0</x:v>
      </x:c>
      <x:c r="O124" s="30" t="n">
        <x:v>40</x:v>
      </x:c>
      <x:c r="P124" s="30" t="n">
        <x:v>5.5</x:v>
      </x:c>
      <x:c r="Q124" s="30" t="n">
        <x:v>0</x:v>
      </x:c>
      <x:c r="R124" s="30" t="n">
        <x:v>0</x:v>
      </x:c>
      <x:c r="S124" s="30" t="n">
        <x:v>0</x:v>
      </x:c>
      <x:c r="T124" s="30" t="n">
        <x:v>0</x:v>
      </x:c>
      <x:c r="U124" s="30" t="n">
        <x:v>1</x:v>
      </x:c>
      <x:c r="V124" s="30" t="str">
        <x:v>2110</x:v>
      </x:c>
    </x:row>
    <x:row r="125">
      <x:c r="A125" s="29" t="str">
        <x:v>15080100</x:v>
      </x:c>
      <x:c r="B125" s="30" t="str">
        <x:v>MA-T-222 KYORAI</x:v>
      </x:c>
      <x:c r="C125" s="30" t="str">
        <x:v>Available</x:v>
      </x:c>
      <x:c r="D125" s="30" t="str">
        <x:v>NAPLAM BOMB LAUNCHER - MA-T-222 KYORAI (Left)</x:v>
      </x:c>
      <x:c r="E125" s="30" t="n">
        <x:v>1</x:v>
      </x:c>
      <x:c r="F125" s="30" t="n">
        <x:v>2890</x:v>
      </x:c>
      <x:c r="G125" s="30" t="n">
        <x:v>60</x:v>
      </x:c>
      <x:c r="H125" s="30" t="n">
        <x:v>1</x:v>
      </x:c>
      <x:c r="I125" s="30" t="n">
        <x:v>0</x:v>
      </x:c>
      <x:c r="J125" s="30" t="n">
        <x:v>1</x:v>
      </x:c>
      <x:c r="K125" s="30" t="n">
        <x:v>1</x:v>
      </x:c>
      <x:c r="L125" s="30" t="n">
        <x:v>1</x:v>
      </x:c>
      <x:c r="M125" s="30" t="n">
        <x:v>1</x:v>
      </x:c>
      <x:c r="N125" s="30" t="n">
        <x:v>0</x:v>
      </x:c>
      <x:c r="O125" s="30" t="n">
        <x:v>90</x:v>
      </x:c>
      <x:c r="P125" s="30" t="n">
        <x:v>2.3</x:v>
      </x:c>
      <x:c r="Q125" s="30" t="n">
        <x:v>0</x:v>
      </x:c>
      <x:c r="R125" s="30" t="n">
        <x:v>0</x:v>
      </x:c>
      <x:c r="S125" s="30" t="n">
        <x:v>0</x:v>
      </x:c>
      <x:c r="T125" s="30" t="n">
        <x:v>0</x:v>
      </x:c>
      <x:c r="U125" s="30" t="n">
        <x:v>1</x:v>
      </x:c>
      <x:c r="V125" s="30" t="str">
        <x:v>2120</x:v>
      </x:c>
    </x:row>
    <x:row r="126">
      <x:c r="A126" s="29" t="str">
        <x:v>15080200</x:v>
      </x:c>
      <x:c r="B126" s="30" t="str">
        <x:v>WS-1200 THERAPIST</x:v>
      </x:c>
      <x:c r="C126" s="30" t="str">
        <x:v>Available</x:v>
      </x:c>
      <x:c r="D126" s="30" t="str">
        <x:v>STUN BOMB LAUNCHER - WS-1200 THERAPIST (Left)</x:v>
      </x:c>
      <x:c r="E126" s="30" t="n">
        <x:v>1</x:v>
      </x:c>
      <x:c r="F126" s="30" t="n">
        <x:v>3180</x:v>
      </x:c>
      <x:c r="G126" s="30" t="n">
        <x:v>82</x:v>
      </x:c>
      <x:c r="H126" s="30" t="n">
        <x:v>1</x:v>
      </x:c>
      <x:c r="I126" s="30" t="n">
        <x:v>1</x:v>
      </x:c>
      <x:c r="J126" s="30" t="n">
        <x:v>1</x:v>
      </x:c>
      <x:c r="K126" s="30" t="n">
        <x:v>1</x:v>
      </x:c>
      <x:c r="L126" s="30" t="n">
        <x:v>1</x:v>
      </x:c>
      <x:c r="M126" s="30" t="n">
        <x:v>1</x:v>
      </x:c>
      <x:c r="N126" s="30" t="n">
        <x:v>0</x:v>
      </x:c>
      <x:c r="O126" s="30" t="n">
        <x:v>108</x:v>
      </x:c>
      <x:c r="P126" s="30" t="n">
        <x:v>2.5</x:v>
      </x:c>
      <x:c r="Q126" s="30" t="n">
        <x:v>0</x:v>
      </x:c>
      <x:c r="R126" s="30" t="n">
        <x:v>0</x:v>
      </x:c>
      <x:c r="S126" s="30" t="n">
        <x:v>0</x:v>
      </x:c>
      <x:c r="T126" s="30" t="n">
        <x:v>0</x:v>
      </x:c>
      <x:c r="U126" s="30" t="n">
        <x:v>1</x:v>
      </x:c>
      <x:c r="V126" s="30" t="str">
        <x:v>2130</x:v>
      </x:c>
    </x:row>
    <x:row r="127">
      <x:c r="A127" s="29" t="str">
        <x:v>15090000</x:v>
      </x:c>
      <x:c r="B127" s="30" t="str">
        <x:v>HML-G2/P19MLT-04</x:v>
      </x:c>
      <x:c r="C127" s="30" t="str">
        <x:v>Available</x:v>
      </x:c>
      <x:c r="D127" s="30" t="str">
        <x:v>MISSILE LAUNCHER - HML-G2/P19MLT-04 (Left)</x:v>
      </x:c>
      <x:c r="E127" s="30" t="n">
        <x:v>1</x:v>
      </x:c>
      <x:c r="F127" s="30" t="n">
        <x:v>3250</x:v>
      </x:c>
      <x:c r="G127" s="30" t="n">
        <x:v>165</x:v>
      </x:c>
      <x:c r="H127" s="30" t="n">
        <x:v>0</x:v>
      </x:c>
      <x:c r="I127" s="30" t="n">
        <x:v>0</x:v>
      </x:c>
      <x:c r="J127" s="30" t="n">
        <x:v>0</x:v>
      </x:c>
      <x:c r="K127" s="30" t="n">
        <x:v>0</x:v>
      </x:c>
      <x:c r="L127" s="30" t="n">
        <x:v>0</x:v>
      </x:c>
      <x:c r="M127" s="30" t="n">
        <x:v>0</x:v>
      </x:c>
      <x:c r="N127" s="30" t="n">
        <x:v>0</x:v>
      </x:c>
      <x:c r="O127" s="30" t="n">
        <x:v>180</x:v>
      </x:c>
      <x:c r="P127" s="30" t="n">
        <x:v>3.6</x:v>
      </x:c>
      <x:c r="Q127" s="30" t="n">
        <x:v>0</x:v>
      </x:c>
      <x:c r="R127" s="30" t="n">
        <x:v>0</x:v>
      </x:c>
      <x:c r="S127" s="30" t="n">
        <x:v>0</x:v>
      </x:c>
      <x:c r="T127" s="30" t="n">
        <x:v>0</x:v>
      </x:c>
      <x:c r="U127" s="30" t="n">
        <x:v>1</x:v>
      </x:c>
      <x:c r="V127" s="30" t="str">
        <x:v>2210</x:v>
      </x:c>
    </x:row>
    <x:row r="128">
      <x:c r="A128" s="29" t="str">
        <x:v>15090100</x:v>
      </x:c>
      <x:c r="B128" s="30" t="str">
        <x:v>HML-G3/P08SPL-06</x:v>
      </x:c>
      <x:c r="C128" s="30" t="str">
        <x:v>Available</x:v>
      </x:c>
      <x:c r="D128" s="30" t="str">
        <x:v>SPLIT MISSILE LAUNCHER - HML-G3/P08SPL-06 (Left)</x:v>
      </x:c>
      <x:c r="E128" s="30" t="n">
        <x:v>1</x:v>
      </x:c>
      <x:c r="F128" s="30" t="n">
        <x:v>4630</x:v>
      </x:c>
      <x:c r="G128" s="30" t="n">
        <x:v>180</x:v>
      </x:c>
      <x:c r="H128" s="30" t="n">
        <x:v>1</x:v>
      </x:c>
      <x:c r="I128" s="30" t="n">
        <x:v>1</x:v>
      </x:c>
      <x:c r="J128" s="30" t="n">
        <x:v>1</x:v>
      </x:c>
      <x:c r="K128" s="30" t="n">
        <x:v>1</x:v>
      </x:c>
      <x:c r="L128" s="30" t="n">
        <x:v>1</x:v>
      </x:c>
      <x:c r="M128" s="30" t="n">
        <x:v>1</x:v>
      </x:c>
      <x:c r="N128" s="30" t="n">
        <x:v>1</x:v>
      </x:c>
      <x:c r="O128" s="30" t="n">
        <x:v>38</x:v>
      </x:c>
      <x:c r="P128" s="30" t="n">
        <x:v>4</x:v>
      </x:c>
      <x:c r="Q128" s="30" t="n">
        <x:v>0</x:v>
      </x:c>
      <x:c r="R128" s="30" t="n">
        <x:v>1</x:v>
      </x:c>
      <x:c r="S128" s="30" t="n">
        <x:v>0</x:v>
      </x:c>
      <x:c r="T128" s="30" t="n">
        <x:v>0</x:v>
      </x:c>
      <x:c r="U128" s="30" t="n">
        <x:v>1</x:v>
      </x:c>
      <x:c r="V128" s="30" t="str">
        <x:v>2220</x:v>
      </x:c>
    </x:row>
    <x:row r="129">
      <x:c r="A129" s="29" t="str">
        <x:v>15100000</x:v>
      </x:c>
      <x:c r="B129" s="30" t="str">
        <x:v>IRIDIUM</x:v>
      </x:c>
      <x:c r="C129" s="30" t="str">
        <x:v>Available</x:v>
      </x:c>
      <x:c r="D129" s="30" t="str">
        <x:v>GRENADE LAUNCHER - IRIDIUM (Left)</x:v>
      </x:c>
      <x:c r="E129" s="30" t="n">
        <x:v>1</x:v>
      </x:c>
      <x:c r="F129" s="30" t="n">
        <x:v>2020</x:v>
      </x:c>
      <x:c r="G129" s="30" t="n">
        <x:v>290</x:v>
      </x:c>
      <x:c r="H129" s="30" t="n">
        <x:v>0</x:v>
      </x:c>
      <x:c r="I129" s="30" t="n">
        <x:v>0</x:v>
      </x:c>
      <x:c r="J129" s="30" t="n">
        <x:v>0</x:v>
      </x:c>
      <x:c r="K129" s="30" t="n">
        <x:v>0</x:v>
      </x:c>
      <x:c r="L129" s="30" t="n">
        <x:v>0</x:v>
      </x:c>
      <x:c r="M129" s="30" t="n">
        <x:v>0</x:v>
      </x:c>
      <x:c r="N129" s="30" t="n">
        <x:v>0</x:v>
      </x:c>
      <x:c r="O129" s="30" t="n">
        <x:v>32</x:v>
      </x:c>
      <x:c r="P129" s="30" t="n">
        <x:v>3.8</x:v>
      </x:c>
      <x:c r="Q129" s="30" t="n">
        <x:v>0</x:v>
      </x:c>
      <x:c r="R129" s="30" t="n">
        <x:v>0</x:v>
      </x:c>
      <x:c r="S129" s="30" t="n">
        <x:v>0</x:v>
      </x:c>
      <x:c r="T129" s="30" t="n">
        <x:v>0</x:v>
      </x:c>
      <x:c r="U129" s="30" t="n">
        <x:v>1</x:v>
      </x:c>
      <x:c r="V129" s="30" t="str">
        <x:v>2310</x:v>
      </x:c>
    </x:row>
    <x:row r="130">
      <x:c r="A130" s="29" t="str">
        <x:v>15110000</x:v>
      </x:c>
      <x:c r="B130" s="30" t="str">
        <x:v>VP-66LH</x:v>
      </x:c>
      <x:c r="C130" s="30" t="str">
        <x:v>Available</x:v>
      </x:c>
      <x:c r="D130" s="30" t="str">
        <x:v>LASER HANDGUN - VP-66LH (Left)</x:v>
      </x:c>
      <x:c r="E130" s="30" t="n">
        <x:v>1</x:v>
      </x:c>
      <x:c r="F130" s="30" t="n">
        <x:v>2800</x:v>
      </x:c>
      <x:c r="G130" s="30" t="n">
        <x:v>395</x:v>
      </x:c>
      <x:c r="H130" s="30" t="n">
        <x:v>0</x:v>
      </x:c>
      <x:c r="I130" s="30" t="n">
        <x:v>0</x:v>
      </x:c>
      <x:c r="J130" s="30" t="n">
        <x:v>0</x:v>
      </x:c>
      <x:c r="K130" s="30" t="n">
        <x:v>0</x:v>
      </x:c>
      <x:c r="L130" s="30" t="n">
        <x:v>0</x:v>
      </x:c>
      <x:c r="M130" s="30" t="n">
        <x:v>0</x:v>
      </x:c>
      <x:c r="N130" s="30" t="n">
        <x:v>0</x:v>
      </x:c>
      <x:c r="O130" s="30" t="n">
        <x:v>380</x:v>
      </x:c>
      <x:c r="P130" s="30" t="n">
        <x:v>0</x:v>
      </x:c>
      <x:c r="Q130" s="30" t="n">
        <x:v>0</x:v>
      </x:c>
      <x:c r="R130" s="30" t="n">
        <x:v>0</x:v>
      </x:c>
      <x:c r="S130" s="30" t="n">
        <x:v>0</x:v>
      </x:c>
      <x:c r="T130" s="30" t="n">
        <x:v>0</x:v>
      </x:c>
      <x:c r="U130" s="30" t="n">
        <x:v>1</x:v>
      </x:c>
      <x:c r="V130" s="30" t="str">
        <x:v>2710</x:v>
      </x:c>
    </x:row>
    <x:row r="131">
      <x:c r="A131" s="29" t="str">
        <x:v>15110100</x:v>
      </x:c>
      <x:c r="B131" s="30" t="str">
        <x:v>VP-66LR</x:v>
      </x:c>
      <x:c r="C131" s="30" t="str">
        <x:v>Available</x:v>
      </x:c>
      <x:c r="D131" s="30" t="str">
        <x:v>LASER RIFLE - VP-66LR (Left)</x:v>
      </x:c>
      <x:c r="E131" s="30" t="n">
        <x:v>1</x:v>
      </x:c>
      <x:c r="F131" s="30" t="n">
        <x:v>3560</x:v>
      </x:c>
      <x:c r="G131" s="30" t="n">
        <x:v>480</x:v>
      </x:c>
      <x:c r="H131" s="30" t="n">
        <x:v>0</x:v>
      </x:c>
      <x:c r="I131" s="30" t="n">
        <x:v>0</x:v>
      </x:c>
      <x:c r="J131" s="30" t="n">
        <x:v>0</x:v>
      </x:c>
      <x:c r="K131" s="30" t="n">
        <x:v>0</x:v>
      </x:c>
      <x:c r="L131" s="30" t="n">
        <x:v>0</x:v>
      </x:c>
      <x:c r="M131" s="30" t="n">
        <x:v>0</x:v>
      </x:c>
      <x:c r="N131" s="30" t="n">
        <x:v>0</x:v>
      </x:c>
      <x:c r="O131" s="30" t="n">
        <x:v>280</x:v>
      </x:c>
      <x:c r="P131" s="30" t="n">
        <x:v>0</x:v>
      </x:c>
      <x:c r="Q131" s="30" t="n">
        <x:v>0</x:v>
      </x:c>
      <x:c r="R131" s="30" t="n">
        <x:v>0</x:v>
      </x:c>
      <x:c r="S131" s="30" t="n">
        <x:v>0</x:v>
      </x:c>
      <x:c r="T131" s="30" t="n">
        <x:v>0</x:v>
      </x:c>
      <x:c r="U131" s="30" t="n">
        <x:v>1</x:v>
      </x:c>
      <x:c r="V131" s="30" t="str">
        <x:v>2720</x:v>
      </x:c>
    </x:row>
    <x:row r="132">
      <x:c r="A132" s="29" t="str">
        <x:v>15110200</x:v>
      </x:c>
      <x:c r="B132" s="30" t="str">
        <x:v>IB-C03W1: WLT 011</x:v>
      </x:c>
      <x:c r="C132" s="30" t="str">
        <x:v>Available</x:v>
      </x:c>
      <x:c r="D132" s="30" t="str">
        <x:v>CORAL RIFLE - IB-C03W1: WLT 011 (Left)</x:v>
      </x:c>
      <x:c r="E132" s="30" t="n">
        <x:v>1</x:v>
      </x:c>
      <x:c r="F132" s="30" t="n">
        <x:v>9030</x:v>
      </x:c>
      <x:c r="G132" s="30" t="n">
        <x:v>850</x:v>
      </x:c>
      <x:c r="H132" s="30" t="n">
        <x:v>1</x:v>
      </x:c>
      <x:c r="I132" s="30" t="n">
        <x:v>1</x:v>
      </x:c>
      <x:c r="J132" s="30" t="n">
        <x:v>1</x:v>
      </x:c>
      <x:c r="K132" s="30" t="n">
        <x:v>1</x:v>
      </x:c>
      <x:c r="L132" s="30" t="n">
        <x:v>1</x:v>
      </x:c>
      <x:c r="M132" s="30" t="n">
        <x:v>1</x:v>
      </x:c>
      <x:c r="N132" s="30" t="n">
        <x:v>0</x:v>
      </x:c>
      <x:c r="O132" s="30" t="n">
        <x:v>180</x:v>
      </x:c>
      <x:c r="P132" s="30" t="n">
        <x:v>0</x:v>
      </x:c>
      <x:c r="Q132" s="30" t="n">
        <x:v>1</x:v>
      </x:c>
      <x:c r="R132" s="30" t="n">
        <x:v>0</x:v>
      </x:c>
      <x:c r="S132" s="30" t="n">
        <x:v>0</x:v>
      </x:c>
      <x:c r="T132" s="30" t="n">
        <x:v>0</x:v>
      </x:c>
      <x:c r="U132" s="30" t="n">
        <x:v>1</x:v>
      </x:c>
      <x:c r="V132" s="30" t="str">
        <x:v>2730</x:v>
      </x:c>
    </x:row>
    <x:row r="133">
      <x:c r="A133" s="29" t="str">
        <x:v>15110300</x:v>
      </x:c>
      <x:c r="B133" s="30" t="str">
        <x:v>VE-66LRA</x:v>
      </x:c>
      <x:c r="C133" s="30" t="str">
        <x:v>Available</x:v>
      </x:c>
      <x:c r="D133" s="30" t="str">
        <x:v>LASER RIFLE - VE-66LRA (Left)</x:v>
      </x:c>
      <x:c r="E133" s="30" t="n">
        <x:v>1</x:v>
      </x:c>
      <x:c r="F133" s="30" t="n">
        <x:v>4940</x:v>
      </x:c>
      <x:c r="G133" s="30" t="n">
        <x:v>532</x:v>
      </x:c>
      <x:c r="H133" s="30" t="n">
        <x:v>0</x:v>
      </x:c>
      <x:c r="I133" s="30" t="n">
        <x:v>0</x:v>
      </x:c>
      <x:c r="J133" s="30" t="n">
        <x:v>0</x:v>
      </x:c>
      <x:c r="K133" s="30" t="n">
        <x:v>0</x:v>
      </x:c>
      <x:c r="L133" s="30" t="n">
        <x:v>0</x:v>
      </x:c>
      <x:c r="M133" s="30" t="n">
        <x:v>0</x:v>
      </x:c>
      <x:c r="N133" s="30" t="n">
        <x:v>0</x:v>
      </x:c>
      <x:c r="O133" s="30" t="n">
        <x:v>90</x:v>
      </x:c>
      <x:c r="P133" s="30" t="n">
        <x:v>0</x:v>
      </x:c>
      <x:c r="Q133" s="30" t="n">
        <x:v>0</x:v>
      </x:c>
      <x:c r="R133" s="30" t="n">
        <x:v>0</x:v>
      </x:c>
      <x:c r="S133" s="30" t="n">
        <x:v>0</x:v>
      </x:c>
      <x:c r="T133" s="30" t="n">
        <x:v>0</x:v>
      </x:c>
      <x:c r="U133" s="30" t="n">
        <x:v>1</x:v>
      </x:c>
      <x:c r="V133" s="30" t="str">
        <x:v>2740</x:v>
      </x:c>
    </x:row>
    <x:row r="134">
      <x:c r="A134" s="29" t="str">
        <x:v>15120000</x:v>
      </x:c>
      <x:c r="B134" s="30" t="str">
        <x:v>Vvc-760PR</x:v>
      </x:c>
      <x:c r="C134" s="30" t="str">
        <x:v>Available</x:v>
      </x:c>
      <x:c r="D134" s="30" t="str">
        <x:v>PLASMA RIFLE - Vvc-760PR (Left)</x:v>
      </x:c>
      <x:c r="E134" s="30" t="n">
        <x:v>1</x:v>
      </x:c>
      <x:c r="F134" s="30" t="n">
        <x:v>3330</x:v>
      </x:c>
      <x:c r="G134" s="30" t="n">
        <x:v>490</x:v>
      </x:c>
      <x:c r="H134" s="30" t="n">
        <x:v>1</x:v>
      </x:c>
      <x:c r="I134" s="30" t="n">
        <x:v>1</x:v>
      </x:c>
      <x:c r="J134" s="30" t="n">
        <x:v>1</x:v>
      </x:c>
      <x:c r="K134" s="30" t="n">
        <x:v>1</x:v>
      </x:c>
      <x:c r="L134" s="30" t="n">
        <x:v>1</x:v>
      </x:c>
      <x:c r="M134" s="30" t="n">
        <x:v>1</x:v>
      </x:c>
      <x:c r="N134" s="30" t="n">
        <x:v>0</x:v>
      </x:c>
      <x:c r="O134" s="30" t="n">
        <x:v>90</x:v>
      </x:c>
      <x:c r="P134" s="30" t="n">
        <x:v>0</x:v>
      </x:c>
      <x:c r="Q134" s="30" t="n">
        <x:v>0</x:v>
      </x:c>
      <x:c r="R134" s="30" t="n">
        <x:v>1</x:v>
      </x:c>
      <x:c r="S134" s="30" t="n">
        <x:v>1</x:v>
      </x:c>
      <x:c r="T134" s="30" t="n">
        <x:v>1</x:v>
      </x:c>
      <x:c r="U134" s="30" t="n">
        <x:v>1</x:v>
      </x:c>
      <x:c r="V134" s="30" t="str">
        <x:v>2410</x:v>
      </x:c>
    </x:row>
    <x:row r="135">
      <x:c r="A135" s="29" t="str">
        <x:v>15120100</x:v>
      </x:c>
      <x:c r="B135" s="30" t="str">
        <x:v>44-142 KRSV</x:v>
      </x:c>
      <x:c r="C135" s="30" t="str">
        <x:v>Available</x:v>
      </x:c>
      <x:c r="D135" s="30" t="str">
        <x:v>MULTI ENERGY RIFLE - 44-142 KRSV (Left)</x:v>
      </x:c>
      <x:c r="E135" s="30" t="n">
        <x:v>1</x:v>
      </x:c>
      <x:c r="F135" s="30" t="n">
        <x:v>10120</x:v>
      </x:c>
      <x:c r="G135" s="30" t="n">
        <x:v>707</x:v>
      </x:c>
      <x:c r="H135" s="30" t="n">
        <x:v>1</x:v>
      </x:c>
      <x:c r="I135" s="30" t="n">
        <x:v>1</x:v>
      </x:c>
      <x:c r="J135" s="30" t="n">
        <x:v>1</x:v>
      </x:c>
      <x:c r="K135" s="30" t="n">
        <x:v>1</x:v>
      </x:c>
      <x:c r="L135" s="30" t="n">
        <x:v>1</x:v>
      </x:c>
      <x:c r="M135" s="30" t="n">
        <x:v>1</x:v>
      </x:c>
      <x:c r="N135" s="30" t="n">
        <x:v>0</x:v>
      </x:c>
      <x:c r="O135" s="30" t="n">
        <x:v>160</x:v>
      </x:c>
      <x:c r="P135" s="30" t="n">
        <x:v>0</x:v>
      </x:c>
      <x:c r="Q135" s="30" t="n">
        <x:v>1</x:v>
      </x:c>
      <x:c r="R135" s="30" t="n">
        <x:v>2</x:v>
      </x:c>
      <x:c r="S135" s="30" t="n">
        <x:v>2</x:v>
      </x:c>
      <x:c r="T135" s="30" t="n">
        <x:v>2</x:v>
      </x:c>
      <x:c r="U135" s="30" t="n">
        <x:v>1</x:v>
      </x:c>
      <x:c r="V135" s="30" t="str">
        <x:v>2420</x:v>
      </x:c>
    </x:row>
    <x:row r="136">
      <x:c r="A136" s="29" t="str">
        <x:v>15130000</x:v>
      </x:c>
      <x:c r="B136" s="30" t="str">
        <x:v>HI-16: GU-Q1</x:v>
      </x:c>
      <x:c r="C136" s="30" t="str">
        <x:v>Available</x:v>
      </x:c>
      <x:c r="D136" s="30" t="str">
        <x:v>PULSE GUN - HI-16: GU-Q1 (Left)</x:v>
      </x:c>
      <x:c r="E136" s="30" t="n">
        <x:v>1</x:v>
      </x:c>
      <x:c r="F136" s="30" t="n">
        <x:v>2110</x:v>
      </x:c>
      <x:c r="G136" s="30" t="n">
        <x:v>368</x:v>
      </x:c>
      <x:c r="H136" s="30" t="n">
        <x:v>0</x:v>
      </x:c>
      <x:c r="I136" s="30" t="n">
        <x:v>0</x:v>
      </x:c>
      <x:c r="J136" s="30" t="n">
        <x:v>0</x:v>
      </x:c>
      <x:c r="K136" s="30" t="n">
        <x:v>0</x:v>
      </x:c>
      <x:c r="L136" s="30" t="n">
        <x:v>0</x:v>
      </x:c>
      <x:c r="M136" s="30" t="n">
        <x:v>0</x:v>
      </x:c>
      <x:c r="N136" s="30" t="n">
        <x:v>0</x:v>
      </x:c>
      <x:c r="O136" s="30" t="n">
        <x:v>560</x:v>
      </x:c>
      <x:c r="P136" s="30" t="n">
        <x:v>0</x:v>
      </x:c>
      <x:c r="Q136" s="30" t="n">
        <x:v>0</x:v>
      </x:c>
      <x:c r="R136" s="30" t="n">
        <x:v>0</x:v>
      </x:c>
      <x:c r="S136" s="30" t="n">
        <x:v>0</x:v>
      </x:c>
      <x:c r="T136" s="30" t="n">
        <x:v>0</x:v>
      </x:c>
      <x:c r="U136" s="30" t="n">
        <x:v>1</x:v>
      </x:c>
      <x:c r="V136" s="30" t="str">
        <x:v>2810</x:v>
      </x:c>
    </x:row>
    <x:row r="137">
      <x:c r="A137" s="29" t="str">
        <x:v>15130100</x:v>
      </x:c>
      <x:c r="B137" s="30" t="str">
        <x:v>HI-18: GU-A2</x:v>
      </x:c>
      <x:c r="C137" s="30" t="str">
        <x:v>Available</x:v>
      </x:c>
      <x:c r="D137" s="30" t="str">
        <x:v>PULSE GUN - HI-18: GU-A2 (Left)</x:v>
      </x:c>
      <x:c r="E137" s="30" t="n">
        <x:v>1</x:v>
      </x:c>
      <x:c r="F137" s="30" t="n">
        <x:v>2650</x:v>
      </x:c>
      <x:c r="G137" s="30" t="n">
        <x:v>446</x:v>
      </x:c>
      <x:c r="H137" s="30" t="n">
        <x:v>0</x:v>
      </x:c>
      <x:c r="I137" s="30" t="n">
        <x:v>0</x:v>
      </x:c>
      <x:c r="J137" s="30" t="n">
        <x:v>0</x:v>
      </x:c>
      <x:c r="K137" s="30" t="n">
        <x:v>0</x:v>
      </x:c>
      <x:c r="L137" s="30" t="n">
        <x:v>0</x:v>
      </x:c>
      <x:c r="M137" s="30" t="n">
        <x:v>0</x:v>
      </x:c>
      <x:c r="N137" s="30" t="n">
        <x:v>0</x:v>
      </x:c>
      <x:c r="O137" s="30" t="n">
        <x:v>380</x:v>
      </x:c>
      <x:c r="P137" s="30" t="n">
        <x:v>0</x:v>
      </x:c>
      <x:c r="Q137" s="30" t="n">
        <x:v>0</x:v>
      </x:c>
      <x:c r="R137" s="30" t="n">
        <x:v>0</x:v>
      </x:c>
      <x:c r="S137" s="30" t="n">
        <x:v>0</x:v>
      </x:c>
      <x:c r="T137" s="30" t="n">
        <x:v>0</x:v>
      </x:c>
      <x:c r="U137" s="30" t="n">
        <x:v>1</x:v>
      </x:c>
      <x:c r="V137" s="30" t="str">
        <x:v>2820</x:v>
      </x:c>
    </x:row>
    <x:row r="138">
      <x:c r="A138" s="29" t="str">
        <x:v>15140000</x:v>
      </x:c>
      <x:c r="B138" s="30" t="str">
        <x:v>VE-66LRB</x:v>
      </x:c>
      <x:c r="C138" s="30" t="str">
        <x:v>Available</x:v>
      </x:c>
      <x:c r="D138" s="30" t="str">
        <x:v>LASER RIFLE - VE-66LRB (Left)</x:v>
      </x:c>
      <x:c r="E138" s="30" t="n">
        <x:v>1</x:v>
      </x:c>
      <x:c r="F138" s="30" t="n">
        <x:v>7760</x:v>
      </x:c>
      <x:c r="G138" s="30" t="n">
        <x:v>604</x:v>
      </x:c>
      <x:c r="H138" s="30" t="n">
        <x:v>0</x:v>
      </x:c>
      <x:c r="I138" s="30" t="n">
        <x:v>0</x:v>
      </x:c>
      <x:c r="J138" s="30" t="n">
        <x:v>0</x:v>
      </x:c>
      <x:c r="K138" s="30" t="n">
        <x:v>0</x:v>
      </x:c>
      <x:c r="L138" s="30" t="n">
        <x:v>0</x:v>
      </x:c>
      <x:c r="M138" s="30" t="n">
        <x:v>0</x:v>
      </x:c>
      <x:c r="N138" s="30" t="n">
        <x:v>0</x:v>
      </x:c>
      <x:c r="O138" s="30" t="n">
        <x:v>108</x:v>
      </x:c>
      <x:c r="P138" s="30" t="n">
        <x:v>0</x:v>
      </x:c>
      <x:c r="Q138" s="30" t="n">
        <x:v>0</x:v>
      </x:c>
      <x:c r="R138" s="30" t="n">
        <x:v>0</x:v>
      </x:c>
      <x:c r="S138" s="30" t="n">
        <x:v>0</x:v>
      </x:c>
      <x:c r="T138" s="30" t="n">
        <x:v>0</x:v>
      </x:c>
      <x:c r="U138" s="30" t="n">
        <x:v>1</x:v>
      </x:c>
      <x:c r="V138" s="30" t="str">
        <x:v>2510</x:v>
      </x:c>
    </x:row>
    <x:row r="139">
      <x:c r="A139" s="29" t="str">
        <x:v>15150000</x:v>
      </x:c>
      <x:c r="B139" s="30" t="str">
        <x:v>WUERGER/66E</x:v>
      </x:c>
      <x:c r="C139" s="30" t="str">
        <x:v>Available</x:v>
      </x:c>
      <x:c r="D139" s="30" t="str">
        <x:v>LASER SHOTGUN - WUERGER/66E (Left)</x:v>
      </x:c>
      <x:c r="E139" s="30" t="n">
        <x:v>1</x:v>
      </x:c>
      <x:c r="F139" s="30" t="n">
        <x:v>2880</x:v>
      </x:c>
      <x:c r="G139" s="30" t="n">
        <x:v>440</x:v>
      </x:c>
      <x:c r="H139" s="30" t="n">
        <x:v>0</x:v>
      </x:c>
      <x:c r="I139" s="30" t="n">
        <x:v>0</x:v>
      </x:c>
      <x:c r="J139" s="30" t="n">
        <x:v>0</x:v>
      </x:c>
      <x:c r="K139" s="30" t="n">
        <x:v>0</x:v>
      </x:c>
      <x:c r="L139" s="30" t="n">
        <x:v>0</x:v>
      </x:c>
      <x:c r="M139" s="30" t="n">
        <x:v>0</x:v>
      </x:c>
      <x:c r="N139" s="30" t="n">
        <x:v>0</x:v>
      </x:c>
      <x:c r="O139" s="30" t="n">
        <x:v>66</x:v>
      </x:c>
      <x:c r="P139" s="30" t="n">
        <x:v>0</x:v>
      </x:c>
      <x:c r="Q139" s="30" t="n">
        <x:v>0</x:v>
      </x:c>
      <x:c r="R139" s="30" t="n">
        <x:v>0</x:v>
      </x:c>
      <x:c r="S139" s="30" t="n">
        <x:v>0</x:v>
      </x:c>
      <x:c r="T139" s="30" t="n">
        <x:v>0</x:v>
      </x:c>
      <x:c r="U139" s="30" t="n">
        <x:v>1</x:v>
      </x:c>
      <x:c r="V139" s="30" t="str">
        <x:v>2610</x:v>
      </x:c>
    </x:row>
    <x:row r="140">
      <x:c r="A140" s="29" t="str">
        <x:v>15150100</x:v>
      </x:c>
      <x:c r="B140" s="30" t="str">
        <x:v>VP-66LS</x:v>
      </x:c>
      <x:c r="C140" s="30" t="str">
        <x:v>Available</x:v>
      </x:c>
      <x:c r="D140" s="30" t="str">
        <x:v>LASER SHOTGUN - VP-66LS (Left)</x:v>
      </x:c>
      <x:c r="E140" s="30" t="n">
        <x:v>1</x:v>
      </x:c>
      <x:c r="F140" s="30" t="n">
        <x:v>3540</x:v>
      </x:c>
      <x:c r="G140" s="30" t="n">
        <x:v>510</x:v>
      </x:c>
      <x:c r="H140" s="30" t="n">
        <x:v>0</x:v>
      </x:c>
      <x:c r="I140" s="30" t="n">
        <x:v>0</x:v>
      </x:c>
      <x:c r="J140" s="30" t="n">
        <x:v>0</x:v>
      </x:c>
      <x:c r="K140" s="30" t="n">
        <x:v>0</x:v>
      </x:c>
      <x:c r="L140" s="30" t="n">
        <x:v>0</x:v>
      </x:c>
      <x:c r="M140" s="30" t="n">
        <x:v>0</x:v>
      </x:c>
      <x:c r="N140" s="30" t="n">
        <x:v>0</x:v>
      </x:c>
      <x:c r="O140" s="30" t="n">
        <x:v>60</x:v>
      </x:c>
      <x:c r="P140" s="30" t="n">
        <x:v>0</x:v>
      </x:c>
      <x:c r="Q140" s="30" t="n">
        <x:v>0</x:v>
      </x:c>
      <x:c r="R140" s="30" t="n">
        <x:v>0</x:v>
      </x:c>
      <x:c r="S140" s="30" t="n">
        <x:v>0</x:v>
      </x:c>
      <x:c r="T140" s="30" t="n">
        <x:v>0</x:v>
      </x:c>
      <x:c r="U140" s="30" t="n">
        <x:v>1</x:v>
      </x:c>
      <x:c r="V140" s="30" t="str">
        <x:v>2620</x:v>
      </x:c>
    </x:row>
    <x:row r="141">
      <x:c r="A141" s="29" t="str">
        <x:v>15150200</x:v>
      </x:c>
      <x:c r="B141" s="30" t="str">
        <x:v>IA-C01W1: NEBULA</x:v>
      </x:c>
      <x:c r="C141" s="30" t="str">
        <x:v>Available</x:v>
      </x:c>
      <x:c r="D141" s="30" t="str">
        <x:v>PLASMA RIFLE - IA-C01W1: NEBULA (Left)</x:v>
      </x:c>
      <x:c r="E141" s="30" t="n">
        <x:v>1</x:v>
      </x:c>
      <x:c r="F141" s="30" t="n">
        <x:v>3890</x:v>
      </x:c>
      <x:c r="G141" s="30" t="n">
        <x:v>609</x:v>
      </x:c>
      <x:c r="H141" s="30" t="n">
        <x:v>1</x:v>
      </x:c>
      <x:c r="I141" s="30" t="n">
        <x:v>1</x:v>
      </x:c>
      <x:c r="J141" s="30" t="n">
        <x:v>1</x:v>
      </x:c>
      <x:c r="K141" s="30" t="n">
        <x:v>1</x:v>
      </x:c>
      <x:c r="L141" s="30" t="n">
        <x:v>1</x:v>
      </x:c>
      <x:c r="M141" s="30" t="n">
        <x:v>1</x:v>
      </x:c>
      <x:c r="N141" s="30" t="n">
        <x:v>0</x:v>
      </x:c>
      <x:c r="O141" s="30" t="n">
        <x:v>58</x:v>
      </x:c>
      <x:c r="P141" s="30" t="n">
        <x:v>0</x:v>
      </x:c>
      <x:c r="Q141" s="30" t="n">
        <x:v>0</x:v>
      </x:c>
      <x:c r="R141" s="30" t="n">
        <x:v>1</x:v>
      </x:c>
      <x:c r="S141" s="30" t="n">
        <x:v>1</x:v>
      </x:c>
      <x:c r="T141" s="30" t="n">
        <x:v>1</x:v>
      </x:c>
      <x:c r="U141" s="30" t="n">
        <x:v>1</x:v>
      </x:c>
      <x:c r="V141" s="30" t="str">
        <x:v>2630</x:v>
      </x:c>
    </x:row>
    <x:row r="142">
      <x:c r="A142" s="29" t="str">
        <x:v>15150300</x:v>
      </x:c>
      <x:c r="B142" s="30" t="str">
        <x:v>IA-C01W6: NB-REDSHIFT</x:v>
      </x:c>
      <x:c r="C142" s="30" t="str">
        <x:v>Available</x:v>
      </x:c>
      <x:c r="D142" s="30" t="str">
        <x:v>CORAL RIFLE - IA-C01W6: NB-REDSHIFT (Left)</x:v>
      </x:c>
      <x:c r="E142" s="30" t="n">
        <x:v>1</x:v>
      </x:c>
      <x:c r="F142" s="30" t="n">
        <x:v>4040</x:v>
      </x:c>
      <x:c r="G142" s="30" t="n">
        <x:v>667</x:v>
      </x:c>
      <x:c r="H142" s="30" t="n">
        <x:v>1</x:v>
      </x:c>
      <x:c r="I142" s="30" t="n">
        <x:v>1</x:v>
      </x:c>
      <x:c r="J142" s="30" t="n">
        <x:v>1</x:v>
      </x:c>
      <x:c r="K142" s="30" t="n">
        <x:v>1</x:v>
      </x:c>
      <x:c r="L142" s="30" t="n">
        <x:v>1</x:v>
      </x:c>
      <x:c r="M142" s="30" t="n">
        <x:v>1</x:v>
      </x:c>
      <x:c r="N142" s="30" t="n">
        <x:v>0</x:v>
      </x:c>
      <x:c r="O142" s="30" t="n">
        <x:v>52</x:v>
      </x:c>
      <x:c r="P142" s="30" t="n">
        <x:v>0</x:v>
      </x:c>
      <x:c r="Q142" s="30" t="n">
        <x:v>0</x:v>
      </x:c>
      <x:c r="R142" s="30" t="n">
        <x:v>1</x:v>
      </x:c>
      <x:c r="S142" s="30" t="n">
        <x:v>1</x:v>
      </x:c>
      <x:c r="T142" s="30" t="n">
        <x:v>1</x:v>
      </x:c>
      <x:c r="U142" s="30" t="n">
        <x:v>1</x:v>
      </x:c>
      <x:c r="V142" s="30" t="str">
        <x:v>2631</x:v>
      </x:c>
    </x:row>
    <x:row r="143">
      <x:c r="A143" s="29" t="str">
        <x:v>15160000</x:v>
      </x:c>
      <x:c r="B143" s="30" t="str">
        <x:v>WB-0000 BAD COOK</x:v>
      </x:c>
      <x:c r="C143" s="30" t="str">
        <x:v>Available</x:v>
      </x:c>
      <x:c r="D143" s="30" t="str">
        <x:v>FLAMETHROWER - WB-0000 BAD COOK (Left)</x:v>
      </x:c>
      <x:c r="E143" s="30" t="n">
        <x:v>1</x:v>
      </x:c>
      <x:c r="F143" s="30" t="n">
        <x:v>5370</x:v>
      </x:c>
      <x:c r="G143" s="30" t="n">
        <x:v>403</x:v>
      </x:c>
      <x:c r="H143" s="30" t="n">
        <x:v>0</x:v>
      </x:c>
      <x:c r="I143" s="30" t="n">
        <x:v>0</x:v>
      </x:c>
      <x:c r="J143" s="30" t="n">
        <x:v>0</x:v>
      </x:c>
      <x:c r="K143" s="30" t="n">
        <x:v>0</x:v>
      </x:c>
      <x:c r="L143" s="30" t="n">
        <x:v>0</x:v>
      </x:c>
      <x:c r="M143" s="30" t="n">
        <x:v>0</x:v>
      </x:c>
      <x:c r="N143" s="30" t="n">
        <x:v>0</x:v>
      </x:c>
      <x:c r="O143" s="30" t="n">
        <x:v>1200</x:v>
      </x:c>
      <x:c r="P143" s="30" t="n">
        <x:v>0</x:v>
      </x:c>
      <x:c r="Q143" s="30" t="n">
        <x:v>0</x:v>
      </x:c>
      <x:c r="R143" s="30" t="n">
        <x:v>0</x:v>
      </x:c>
      <x:c r="S143" s="30" t="n">
        <x:v>0</x:v>
      </x:c>
      <x:c r="T143" s="30" t="n">
        <x:v>0</x:v>
      </x:c>
      <x:c r="U143" s="30" t="n">
        <x:v>1</x:v>
      </x:c>
      <x:c r="V143" s="30" t="str">
        <x:v>2910</x:v>
      </x:c>
    </x:row>
    <x:row r="144">
      <x:c r="A144" s="29" t="str">
        <x:v>15170000</x:v>
      </x:c>
      <x:c r="B144" s="30" t="str">
        <x:v>44-141 JVLN ALPHA</x:v>
      </x:c>
      <x:c r="C144" s="30" t="str">
        <x:v>Available</x:v>
      </x:c>
      <x:c r="D144" s="30" t="str">
        <x:v>DETONATING BAZOOKA - 44-141 JVLN ALPHA (Left)</x:v>
      </x:c>
      <x:c r="E144" s="30" t="n">
        <x:v>1</x:v>
      </x:c>
      <x:c r="F144" s="30" t="n">
        <x:v>5920</x:v>
      </x:c>
      <x:c r="G144" s="30" t="n">
        <x:v>299</x:v>
      </x:c>
      <x:c r="H144" s="30" t="n">
        <x:v>4</x:v>
      </x:c>
      <x:c r="I144" s="30" t="n">
        <x:v>4</x:v>
      </x:c>
      <x:c r="J144" s="30" t="n">
        <x:v>4</x:v>
      </x:c>
      <x:c r="K144" s="30" t="n">
        <x:v>4</x:v>
      </x:c>
      <x:c r="L144" s="30" t="n">
        <x:v>4</x:v>
      </x:c>
      <x:c r="M144" s="30" t="n">
        <x:v>1</x:v>
      </x:c>
      <x:c r="N144" s="30" t="n">
        <x:v>0</x:v>
      </x:c>
      <x:c r="O144" s="30" t="n">
        <x:v>44</x:v>
      </x:c>
      <x:c r="P144" s="30" t="n">
        <x:v>4.1</x:v>
      </x:c>
      <x:c r="Q144" s="30" t="n">
        <x:v>0</x:v>
      </x:c>
      <x:c r="R144" s="30" t="n">
        <x:v>0</x:v>
      </x:c>
      <x:c r="S144" s="30" t="n">
        <x:v>0</x:v>
      </x:c>
      <x:c r="T144" s="30" t="n">
        <x:v>0</x:v>
      </x:c>
      <x:c r="U144" s="30" t="n">
        <x:v>1</x:v>
      </x:c>
      <x:c r="V144" s="30" t="str">
        <x:v>3010</x:v>
      </x:c>
    </x:row>
    <x:row r="145">
      <x:c r="A145" s="29" t="str">
        <x:v>15180000</x:v>
      </x:c>
      <x:c r="B145" s="30" t="str">
        <x:v>VP-66EG</x:v>
      </x:c>
      <x:c r="C145" s="30" t="str">
        <x:v>Available</x:v>
      </x:c>
      <x:c r="D145" s="30" t="str">
        <x:v>STUN GUN - VP-66EG (Left)</x:v>
      </x:c>
      <x:c r="E145" s="30" t="n">
        <x:v>1</x:v>
      </x:c>
      <x:c r="F145" s="30" t="n">
        <x:v>980</x:v>
      </x:c>
      <x:c r="G145" s="30" t="n">
        <x:v>247</x:v>
      </x:c>
      <x:c r="H145" s="30" t="n">
        <x:v>0</x:v>
      </x:c>
      <x:c r="I145" s="30" t="n">
        <x:v>0</x:v>
      </x:c>
      <x:c r="J145" s="30" t="n">
        <x:v>0</x:v>
      </x:c>
      <x:c r="K145" s="30" t="n">
        <x:v>0</x:v>
      </x:c>
      <x:c r="L145" s="30" t="n">
        <x:v>0</x:v>
      </x:c>
      <x:c r="M145" s="30" t="n">
        <x:v>0</x:v>
      </x:c>
      <x:c r="N145" s="30" t="n">
        <x:v>0</x:v>
      </x:c>
      <x:c r="O145" s="30" t="n">
        <x:v>133</x:v>
      </x:c>
      <x:c r="P145" s="30" t="n">
        <x:v>1.8</x:v>
      </x:c>
      <x:c r="Q145" s="30" t="n">
        <x:v>0</x:v>
      </x:c>
      <x:c r="R145" s="30" t="n">
        <x:v>0</x:v>
      </x:c>
      <x:c r="S145" s="30" t="n">
        <x:v>0</x:v>
      </x:c>
      <x:c r="T145" s="30" t="n">
        <x:v>0</x:v>
      </x:c>
      <x:c r="U145" s="30" t="n">
        <x:v>1</x:v>
      </x:c>
      <x:c r="V145" s="30" t="str">
        <x:v>3020</x:v>
      </x:c>
    </x:row>
    <x:row r="146">
      <x:c r="A146" s="29" t="str">
        <x:v>15190000</x:v>
      </x:c>
      <x:c r="B146" s="30" t="str">
        <x:v>WS-5000 APERITIF</x:v>
      </x:c>
      <x:c r="C146" s="30" t="str">
        <x:v>Available</x:v>
      </x:c>
      <x:c r="D146" s="30" t="str">
        <x:v>SIEGE MISSILE LAUNCHER - WS-5000 APERITIF (Left)</x:v>
      </x:c>
      <x:c r="E146" s="30" t="n">
        <x:v>1</x:v>
      </x:c>
      <x:c r="F146" s="30" t="n">
        <x:v>4600</x:v>
      </x:c>
      <x:c r="G146" s="30" t="n">
        <x:v>165</x:v>
      </x:c>
      <x:c r="H146" s="30" t="n">
        <x:v>1</x:v>
      </x:c>
      <x:c r="I146" s="30" t="n">
        <x:v>0</x:v>
      </x:c>
      <x:c r="J146" s="30" t="n">
        <x:v>1</x:v>
      </x:c>
      <x:c r="K146" s="30" t="n">
        <x:v>1</x:v>
      </x:c>
      <x:c r="L146" s="30" t="n">
        <x:v>1</x:v>
      </x:c>
      <x:c r="M146" s="30" t="n">
        <x:v>1</x:v>
      </x:c>
      <x:c r="N146" s="30" t="n">
        <x:v>0</x:v>
      </x:c>
      <x:c r="O146" s="30" t="n">
        <x:v>338</x:v>
      </x:c>
      <x:c r="P146" s="30" t="n">
        <x:v>6</x:v>
      </x:c>
      <x:c r="Q146" s="30" t="n">
        <x:v>0</x:v>
      </x:c>
      <x:c r="R146" s="30" t="n">
        <x:v>1</x:v>
      </x:c>
      <x:c r="S146" s="30" t="n">
        <x:v>1</x:v>
      </x:c>
      <x:c r="T146" s="30" t="n">
        <x:v>1</x:v>
      </x:c>
      <x:c r="U146" s="30" t="n">
        <x:v>1</x:v>
      </x:c>
      <x:c r="V146" s="30" t="str">
        <x:v>3030</x:v>
      </x:c>
    </x:row>
    <x:row r="147">
      <x:c r="A147" s="29" t="str">
        <x:v>15300000</x:v>
      </x:c>
      <x:c r="B147" s="30" t="str">
        <x:v>PFAU/66D</x:v>
      </x:c>
      <x:c r="C147" s="30" t="str">
        <x:v>Available</x:v>
      </x:c>
      <x:c r="D147" s="30" t="str">
        <x:v>PULSE MISSILE LAUNCHER - PFAU/66D (Left)</x:v>
      </x:c>
      <x:c r="E147" s="30" t="n">
        <x:v>1</x:v>
      </x:c>
      <x:c r="F147" s="30" t="n">
        <x:v>3630</x:v>
      </x:c>
      <x:c r="G147" s="30" t="n">
        <x:v>392</x:v>
      </x:c>
      <x:c r="H147" s="30" t="n">
        <x:v>1</x:v>
      </x:c>
      <x:c r="I147" s="30" t="n">
        <x:v>0</x:v>
      </x:c>
      <x:c r="J147" s="30" t="n">
        <x:v>1</x:v>
      </x:c>
      <x:c r="K147" s="30" t="n">
        <x:v>1</x:v>
      </x:c>
      <x:c r="L147" s="30" t="n">
        <x:v>1</x:v>
      </x:c>
      <x:c r="M147" s="30" t="n">
        <x:v>1</x:v>
      </x:c>
      <x:c r="N147" s="30" t="n">
        <x:v>0</x:v>
      </x:c>
      <x:c r="O147" s="30" t="n">
        <x:v>228</x:v>
      </x:c>
      <x:c r="P147" s="30" t="n">
        <x:v>3.7</x:v>
      </x:c>
      <x:c r="Q147" s="30" t="n">
        <x:v>0</x:v>
      </x:c>
      <x:c r="R147" s="30" t="n">
        <x:v>1</x:v>
      </x:c>
      <x:c r="S147" s="30" t="n">
        <x:v>1</x:v>
      </x:c>
      <x:c r="T147" s="30" t="n">
        <x:v>1</x:v>
      </x:c>
      <x:c r="U147" s="30" t="n">
        <x:v>1</x:v>
      </x:c>
      <x:c r="V147" s="30" t="str">
        <x:v>4360</x:v>
      </x:c>
    </x:row>
    <x:row r="148">
      <x:c r="A148" s="29" t="str">
        <x:v>20000100</x:v>
      </x:c>
      <x:c r="B148" s="30" t="str">
        <x:v>IB-C03W2: WLT 101</x:v>
      </x:c>
      <x:c r="C148" s="30" t="str">
        <x:v>Available</x:v>
      </x:c>
      <x:c r="D148" s="30" t="str">
        <x:v>CORAL OSCILLATOR - IB-C03W2: WLT 101</x:v>
      </x:c>
      <x:c r="E148" s="30" t="n">
        <x:v>2</x:v>
      </x:c>
      <x:c r="F148" s="30" t="n">
        <x:v>2030</x:v>
      </x:c>
      <x:c r="G148" s="30" t="n">
        <x:v>578</x:v>
      </x:c>
      <x:c r="H148" s="30" t="n">
        <x:v>0</x:v>
      </x:c>
      <x:c r="I148" s="30" t="n">
        <x:v>0</x:v>
      </x:c>
      <x:c r="J148" s="30" t="n">
        <x:v>0</x:v>
      </x:c>
      <x:c r="K148" s="30" t="n">
        <x:v>0</x:v>
      </x:c>
      <x:c r="L148" s="30" t="n">
        <x:v>0</x:v>
      </x:c>
      <x:c r="M148" s="30" t="n">
        <x:v>0</x:v>
      </x:c>
      <x:c r="N148" s="30" t="n">
        <x:v>0</x:v>
      </x:c>
      <x:c r="O148" s="30" t="n">
        <x:v>-1</x:v>
      </x:c>
      <x:c r="P148" s="30" t="n">
        <x:v>0</x:v>
      </x:c>
      <x:c r="Q148" s="30" t="n">
        <x:v>0</x:v>
      </x:c>
      <x:c r="R148" s="30" t="n">
        <x:v>0</x:v>
      </x:c>
      <x:c r="S148" s="30" t="n">
        <x:v>0</x:v>
      </x:c>
      <x:c r="T148" s="30" t="n">
        <x:v>0</x:v>
      </x:c>
      <x:c r="U148" s="30" t="n">
        <x:v>1</x:v>
      </x:c>
      <x:c r="V148" s="30" t="str">
        <x:v>230</x:v>
      </x:c>
    </x:row>
    <x:row r="149">
      <x:c r="A149" s="29" t="str">
        <x:v>20000200</x:v>
      </x:c>
      <x:c r="B149" s="30" t="str">
        <x:v>IA-C01W2: MOONLIGHT</x:v>
      </x:c>
      <x:c r="C149" s="30" t="str">
        <x:v>Available</x:v>
      </x:c>
      <x:c r="D149" s="30" t="str">
        <x:v>LIGHT WAVE BLADE - IA-C01W2: MOONLIGHT</x:v>
      </x:c>
      <x:c r="E149" s="30" t="n">
        <x:v>2</x:v>
      </x:c>
      <x:c r="F149" s="30" t="n">
        <x:v>2200</x:v>
      </x:c>
      <x:c r="G149" s="30" t="n">
        <x:v>544</x:v>
      </x:c>
      <x:c r="H149" s="30" t="n">
        <x:v>0</x:v>
      </x:c>
      <x:c r="I149" s="30" t="n">
        <x:v>0</x:v>
      </x:c>
      <x:c r="J149" s="30" t="n">
        <x:v>0</x:v>
      </x:c>
      <x:c r="K149" s="30" t="n">
        <x:v>0</x:v>
      </x:c>
      <x:c r="L149" s="30" t="n">
        <x:v>0</x:v>
      </x:c>
      <x:c r="M149" s="30" t="n">
        <x:v>0</x:v>
      </x:c>
      <x:c r="N149" s="30" t="n">
        <x:v>0</x:v>
      </x:c>
      <x:c r="O149" s="30" t="n">
        <x:v>-1</x:v>
      </x:c>
      <x:c r="P149" s="30" t="n">
        <x:v>0</x:v>
      </x:c>
      <x:c r="Q149" s="30" t="n">
        <x:v>0</x:v>
      </x:c>
      <x:c r="R149" s="30" t="n">
        <x:v>0</x:v>
      </x:c>
      <x:c r="S149" s="30" t="n">
        <x:v>0</x:v>
      </x:c>
      <x:c r="T149" s="30" t="n">
        <x:v>0</x:v>
      </x:c>
      <x:c r="U149" s="30" t="n">
        <x:v>1</x:v>
      </x:c>
      <x:c r="V149" s="30" t="str">
        <x:v>250</x:v>
      </x:c>
    </x:row>
    <x:row r="150">
      <x:c r="A150" s="29" t="str">
        <x:v>20000300</x:v>
      </x:c>
      <x:c r="B150" s="30" t="str">
        <x:v>IA-C01W7: ML-REDSHIFT</x:v>
      </x:c>
      <x:c r="C150" s="30" t="str">
        <x:v>Available</x:v>
      </x:c>
      <x:c r="D150" s="30" t="str">
        <x:v>CORAL OSCILLATOR - IA-C01W7: ML-REDSHIFT</x:v>
      </x:c>
      <x:c r="E150" s="30" t="n">
        <x:v>2</x:v>
      </x:c>
      <x:c r="F150" s="30" t="n">
        <x:v>2200</x:v>
      </x:c>
      <x:c r="G150" s="30" t="n">
        <x:v>544</x:v>
      </x:c>
      <x:c r="H150" s="30" t="n">
        <x:v>0</x:v>
      </x:c>
      <x:c r="I150" s="30" t="n">
        <x:v>0</x:v>
      </x:c>
      <x:c r="J150" s="30" t="n">
        <x:v>0</x:v>
      </x:c>
      <x:c r="K150" s="30" t="n">
        <x:v>0</x:v>
      </x:c>
      <x:c r="L150" s="30" t="n">
        <x:v>0</x:v>
      </x:c>
      <x:c r="M150" s="30" t="n">
        <x:v>0</x:v>
      </x:c>
      <x:c r="N150" s="30" t="n">
        <x:v>0</x:v>
      </x:c>
      <x:c r="O150" s="30" t="n">
        <x:v>-1</x:v>
      </x:c>
      <x:c r="P150" s="30" t="n">
        <x:v>0</x:v>
      </x:c>
      <x:c r="Q150" s="30" t="n">
        <x:v>0</x:v>
      </x:c>
      <x:c r="R150" s="30" t="n">
        <x:v>0</x:v>
      </x:c>
      <x:c r="S150" s="30" t="n">
        <x:v>0</x:v>
      </x:c>
      <x:c r="T150" s="30" t="n">
        <x:v>0</x:v>
      </x:c>
      <x:c r="U150" s="30" t="n">
        <x:v>1</x:v>
      </x:c>
      <x:c r="V150" s="30" t="str">
        <x:v>251</x:v>
      </x:c>
    </x:row>
    <x:row r="151">
      <x:c r="A151" s="29" t="str">
        <x:v>20010000</x:v>
      </x:c>
      <x:c r="B151" s="30" t="str">
        <x:v>HI-32: BU-TT/A</x:v>
      </x:c>
      <x:c r="C151" s="30" t="str">
        <x:v>Available</x:v>
      </x:c>
      <x:c r="D151" s="30" t="str">
        <x:v>PULSE BLADE - HI-32: BU-TT/A</x:v>
      </x:c>
      <x:c r="E151" s="30" t="n">
        <x:v>2</x:v>
      </x:c>
      <x:c r="F151" s="30" t="n">
        <x:v>1800</x:v>
      </x:c>
      <x:c r="G151" s="30" t="n">
        <x:v>213</x:v>
      </x:c>
      <x:c r="H151" s="30" t="n">
        <x:v>0</x:v>
      </x:c>
      <x:c r="I151" s="30" t="n">
        <x:v>0</x:v>
      </x:c>
      <x:c r="J151" s="30" t="n">
        <x:v>0</x:v>
      </x:c>
      <x:c r="K151" s="30" t="n">
        <x:v>0</x:v>
      </x:c>
      <x:c r="L151" s="30" t="n">
        <x:v>0</x:v>
      </x:c>
      <x:c r="M151" s="30" t="n">
        <x:v>0</x:v>
      </x:c>
      <x:c r="N151" s="30" t="n">
        <x:v>0</x:v>
      </x:c>
      <x:c r="O151" s="30" t="n">
        <x:v>-1</x:v>
      </x:c>
      <x:c r="P151" s="30" t="n">
        <x:v>0</x:v>
      </x:c>
      <x:c r="Q151" s="30" t="n">
        <x:v>0</x:v>
      </x:c>
      <x:c r="R151" s="30" t="n">
        <x:v>0</x:v>
      </x:c>
      <x:c r="S151" s="30" t="n">
        <x:v>0</x:v>
      </x:c>
      <x:c r="T151" s="30" t="n">
        <x:v>0</x:v>
      </x:c>
      <x:c r="U151" s="30" t="n">
        <x:v>1</x:v>
      </x:c>
      <x:c r="V151" s="30" t="str">
        <x:v>211</x:v>
      </x:c>
    </x:row>
    <x:row r="152">
      <x:c r="A152" s="29" t="str">
        <x:v>20020000</x:v>
      </x:c>
      <x:c r="B152" s="30" t="str">
        <x:v>Vvc-770LB</x:v>
      </x:c>
      <x:c r="C152" s="30" t="str">
        <x:v>Available</x:v>
      </x:c>
      <x:c r="D152" s="30" t="str">
        <x:v>LASER BLADE - Vvc-770LB</x:v>
      </x:c>
      <x:c r="E152" s="30" t="n">
        <x:v>2</x:v>
      </x:c>
      <x:c r="F152" s="30" t="n">
        <x:v>2060</x:v>
      </x:c>
      <x:c r="G152" s="30" t="n">
        <x:v>245</x:v>
      </x:c>
      <x:c r="H152" s="30" t="n">
        <x:v>0</x:v>
      </x:c>
      <x:c r="I152" s="30" t="n">
        <x:v>0</x:v>
      </x:c>
      <x:c r="J152" s="30" t="n">
        <x:v>0</x:v>
      </x:c>
      <x:c r="K152" s="30" t="n">
        <x:v>0</x:v>
      </x:c>
      <x:c r="L152" s="30" t="n">
        <x:v>0</x:v>
      </x:c>
      <x:c r="M152" s="30" t="n">
        <x:v>0</x:v>
      </x:c>
      <x:c r="N152" s="30" t="n">
        <x:v>0</x:v>
      </x:c>
      <x:c r="O152" s="30" t="n">
        <x:v>-1</x:v>
      </x:c>
      <x:c r="P152" s="30" t="n">
        <x:v>0</x:v>
      </x:c>
      <x:c r="Q152" s="30" t="n">
        <x:v>0</x:v>
      </x:c>
      <x:c r="R152" s="30" t="n">
        <x:v>0</x:v>
      </x:c>
      <x:c r="S152" s="30" t="n">
        <x:v>0</x:v>
      </x:c>
      <x:c r="T152" s="30" t="n">
        <x:v>0</x:v>
      </x:c>
      <x:c r="U152" s="30" t="n">
        <x:v>1</x:v>
      </x:c>
      <x:c r="V152" s="30" t="str">
        <x:v>221</x:v>
      </x:c>
    </x:row>
    <x:row r="153">
      <x:c r="A153" s="29" t="str">
        <x:v>20030000</x:v>
      </x:c>
      <x:c r="B153" s="30" t="str">
        <x:v>Vvc-774LS</x:v>
      </x:c>
      <x:c r="C153" s="30" t="str">
        <x:v>Available</x:v>
      </x:c>
      <x:c r="D153" s="30" t="str">
        <x:v>LASER SLICER - Vvc-774LS</x:v>
      </x:c>
      <x:c r="E153" s="30" t="n">
        <x:v>2</x:v>
      </x:c>
      <x:c r="F153" s="30" t="n">
        <x:v>3260</x:v>
      </x:c>
      <x:c r="G153" s="30" t="n">
        <x:v>328</x:v>
      </x:c>
      <x:c r="H153" s="30" t="n">
        <x:v>0</x:v>
      </x:c>
      <x:c r="I153" s="30" t="n">
        <x:v>0</x:v>
      </x:c>
      <x:c r="J153" s="30" t="n">
        <x:v>0</x:v>
      </x:c>
      <x:c r="K153" s="30" t="n">
        <x:v>0</x:v>
      </x:c>
      <x:c r="L153" s="30" t="n">
        <x:v>0</x:v>
      </x:c>
      <x:c r="M153" s="30" t="n">
        <x:v>0</x:v>
      </x:c>
      <x:c r="N153" s="30" t="n">
        <x:v>0</x:v>
      </x:c>
      <x:c r="O153" s="30" t="n">
        <x:v>-1</x:v>
      </x:c>
      <x:c r="P153" s="30" t="n">
        <x:v>0</x:v>
      </x:c>
      <x:c r="Q153" s="30" t="n">
        <x:v>0</x:v>
      </x:c>
      <x:c r="R153" s="30" t="n">
        <x:v>0</x:v>
      </x:c>
      <x:c r="S153" s="30" t="n">
        <x:v>0</x:v>
      </x:c>
      <x:c r="T153" s="30" t="n">
        <x:v>0</x:v>
      </x:c>
      <x:c r="U153" s="30" t="n">
        <x:v>1</x:v>
      </x:c>
      <x:c r="V153" s="30" t="str">
        <x:v>411</x:v>
      </x:c>
    </x:row>
    <x:row r="154">
      <x:c r="A154" s="29" t="str">
        <x:v>20040000</x:v>
      </x:c>
      <x:c r="B154" s="30" t="str">
        <x:v>VP-67LD</x:v>
      </x:c>
      <x:c r="C154" s="30" t="str">
        <x:v>Available</x:v>
      </x:c>
      <x:c r="D154" s="30" t="str">
        <x:v>LASER DAGGER - VP-67LD</x:v>
      </x:c>
      <x:c r="E154" s="30" t="n">
        <x:v>2</x:v>
      </x:c>
      <x:c r="F154" s="30" t="n">
        <x:v>1350</x:v>
      </x:c>
      <x:c r="G154" s="30" t="n">
        <x:v>150</x:v>
      </x:c>
      <x:c r="H154" s="30" t="n">
        <x:v>0</x:v>
      </x:c>
      <x:c r="I154" s="30" t="n">
        <x:v>0</x:v>
      </x:c>
      <x:c r="J154" s="30" t="n">
        <x:v>0</x:v>
      </x:c>
      <x:c r="K154" s="30" t="n">
        <x:v>0</x:v>
      </x:c>
      <x:c r="L154" s="30" t="n">
        <x:v>0</x:v>
      </x:c>
      <x:c r="M154" s="30" t="n">
        <x:v>0</x:v>
      </x:c>
      <x:c r="N154" s="30" t="n">
        <x:v>0</x:v>
      </x:c>
      <x:c r="O154" s="30" t="n">
        <x:v>-1</x:v>
      </x:c>
      <x:c r="P154" s="30" t="n">
        <x:v>0</x:v>
      </x:c>
      <x:c r="Q154" s="30" t="n">
        <x:v>0</x:v>
      </x:c>
      <x:c r="R154" s="30" t="n">
        <x:v>0</x:v>
      </x:c>
      <x:c r="S154" s="30" t="n">
        <x:v>0</x:v>
      </x:c>
      <x:c r="T154" s="30" t="n">
        <x:v>0</x:v>
      </x:c>
      <x:c r="U154" s="30" t="n">
        <x:v>1</x:v>
      </x:c>
      <x:c r="V154" s="30" t="str">
        <x:v>241</x:v>
      </x:c>
    </x:row>
    <x:row r="155">
      <x:c r="A155" s="29" t="str">
        <x:v>20050000</x:v>
      </x:c>
      <x:c r="B155" s="30" t="str">
        <x:v>VE-67LLA</x:v>
      </x:c>
      <x:c r="C155" s="30" t="str">
        <x:v>Available</x:v>
      </x:c>
      <x:c r="D155" s="30" t="str">
        <x:v>LASER LANCE - VE-67LLA</x:v>
      </x:c>
      <x:c r="E155" s="30" t="n">
        <x:v>2</x:v>
      </x:c>
      <x:c r="F155" s="30" t="n">
        <x:v>4520</x:v>
      </x:c>
      <x:c r="G155" s="30" t="n">
        <x:v>460</x:v>
      </x:c>
      <x:c r="H155" s="30" t="n">
        <x:v>0</x:v>
      </x:c>
      <x:c r="I155" s="30" t="n">
        <x:v>0</x:v>
      </x:c>
      <x:c r="J155" s="30" t="n">
        <x:v>0</x:v>
      </x:c>
      <x:c r="K155" s="30" t="n">
        <x:v>0</x:v>
      </x:c>
      <x:c r="L155" s="30" t="n">
        <x:v>0</x:v>
      </x:c>
      <x:c r="M155" s="30" t="n">
        <x:v>0</x:v>
      </x:c>
      <x:c r="N155" s="30" t="n">
        <x:v>0</x:v>
      </x:c>
      <x:c r="O155" s="30" t="n">
        <x:v>-1</x:v>
      </x:c>
      <x:c r="P155" s="30" t="n">
        <x:v>0</x:v>
      </x:c>
      <x:c r="Q155" s="30" t="n">
        <x:v>0</x:v>
      </x:c>
      <x:c r="R155" s="30" t="n">
        <x:v>0</x:v>
      </x:c>
      <x:c r="S155" s="30" t="n">
        <x:v>0</x:v>
      </x:c>
      <x:c r="T155" s="30" t="n">
        <x:v>0</x:v>
      </x:c>
      <x:c r="U155" s="30" t="n">
        <x:v>1</x:v>
      </x:c>
      <x:c r="V155" s="30" t="str">
        <x:v>610</x:v>
      </x:c>
    </x:row>
    <x:row r="156">
      <x:c r="A156" s="29" t="str">
        <x:v>20060000</x:v>
      </x:c>
      <x:c r="B156" s="30" t="str">
        <x:v>WB-0010 DOUBLE TROUBLE</x:v>
      </x:c>
      <x:c r="C156" s="30" t="str">
        <x:v>Available</x:v>
      </x:c>
      <x:c r="D156" s="30" t="str">
        <x:v>CHAINSAW - WB-0010 DOUBLE TROUBLE</x:v>
      </x:c>
      <x:c r="E156" s="30" t="n">
        <x:v>2</x:v>
      </x:c>
      <x:c r="F156" s="30" t="n">
        <x:v>5090</x:v>
      </x:c>
      <x:c r="G156" s="30" t="n">
        <x:v>108</x:v>
      </x:c>
      <x:c r="H156" s="30" t="n">
        <x:v>0</x:v>
      </x:c>
      <x:c r="I156" s="30" t="n">
        <x:v>0</x:v>
      </x:c>
      <x:c r="J156" s="30" t="n">
        <x:v>0</x:v>
      </x:c>
      <x:c r="K156" s="30" t="n">
        <x:v>0</x:v>
      </x:c>
      <x:c r="L156" s="30" t="n">
        <x:v>0</x:v>
      </x:c>
      <x:c r="M156" s="30" t="n">
        <x:v>0</x:v>
      </x:c>
      <x:c r="N156" s="30" t="n">
        <x:v>0</x:v>
      </x:c>
      <x:c r="O156" s="30" t="n">
        <x:v>-1</x:v>
      </x:c>
      <x:c r="P156" s="30" t="n">
        <x:v>0</x:v>
      </x:c>
      <x:c r="Q156" s="30" t="n">
        <x:v>0</x:v>
      </x:c>
      <x:c r="R156" s="30" t="n">
        <x:v>0</x:v>
      </x:c>
      <x:c r="S156" s="30" t="n">
        <x:v>0</x:v>
      </x:c>
      <x:c r="T156" s="30" t="n">
        <x:v>0</x:v>
      </x:c>
      <x:c r="U156" s="30" t="n">
        <x:v>1</x:v>
      </x:c>
      <x:c r="V156" s="30" t="str">
        <x:v>1012</x:v>
      </x:c>
    </x:row>
    <x:row r="157">
      <x:c r="A157" s="29" t="str">
        <x:v>20070000</x:v>
      </x:c>
      <x:c r="B157" s="30" t="str">
        <x:v>44-143 HMMR</x:v>
      </x:c>
      <x:c r="C157" s="30" t="str">
        <x:v>Available</x:v>
      </x:c>
      <x:c r="D157" s="30" t="str">
        <x:v>PLASMA THROWER - 44-143 HMMR</x:v>
      </x:c>
      <x:c r="E157" s="30" t="n">
        <x:v>2</x:v>
      </x:c>
      <x:c r="F157" s="30" t="n">
        <x:v>2410</x:v>
      </x:c>
      <x:c r="G157" s="30" t="n">
        <x:v>311</x:v>
      </x:c>
      <x:c r="H157" s="30" t="n">
        <x:v>0</x:v>
      </x:c>
      <x:c r="I157" s="30" t="n">
        <x:v>0</x:v>
      </x:c>
      <x:c r="J157" s="30" t="n">
        <x:v>0</x:v>
      </x:c>
      <x:c r="K157" s="30" t="n">
        <x:v>0</x:v>
      </x:c>
      <x:c r="L157" s="30" t="n">
        <x:v>0</x:v>
      </x:c>
      <x:c r="M157" s="30" t="n">
        <x:v>0</x:v>
      </x:c>
      <x:c r="N157" s="30" t="n">
        <x:v>0</x:v>
      </x:c>
      <x:c r="O157" s="30" t="n">
        <x:v>-1</x:v>
      </x:c>
      <x:c r="P157" s="30" t="n">
        <x:v>0</x:v>
      </x:c>
      <x:c r="Q157" s="30" t="n">
        <x:v>0</x:v>
      </x:c>
      <x:c r="R157" s="30" t="n">
        <x:v>1</x:v>
      </x:c>
      <x:c r="S157" s="30" t="n">
        <x:v>1</x:v>
      </x:c>
      <x:c r="T157" s="30" t="n">
        <x:v>1</x:v>
      </x:c>
      <x:c r="U157" s="30" t="n">
        <x:v>1</x:v>
      </x:c>
      <x:c r="V157" s="30" t="str">
        <x:v>1210</x:v>
      </x:c>
    </x:row>
    <x:row r="158">
      <x:c r="A158" s="29" t="str">
        <x:v>20080000</x:v>
      </x:c>
      <x:c r="B158" s="30" t="str">
        <x:v>PB-033M ASHMEAD</x:v>
      </x:c>
      <x:c r="C158" s="30" t="str">
        <x:v>Available</x:v>
      </x:c>
      <x:c r="D158" s="30" t="str">
        <x:v>PILE BUNKER - PB-033M ASHMEAD</x:v>
      </x:c>
      <x:c r="E158" s="30" t="n">
        <x:v>2</x:v>
      </x:c>
      <x:c r="F158" s="30" t="n">
        <x:v>4180</x:v>
      </x:c>
      <x:c r="G158" s="30" t="n">
        <x:v>225</x:v>
      </x:c>
      <x:c r="H158" s="30" t="n">
        <x:v>0</x:v>
      </x:c>
      <x:c r="I158" s="30" t="n">
        <x:v>0</x:v>
      </x:c>
      <x:c r="J158" s="30" t="n">
        <x:v>0</x:v>
      </x:c>
      <x:c r="K158" s="30" t="n">
        <x:v>0</x:v>
      </x:c>
      <x:c r="L158" s="30" t="n">
        <x:v>0</x:v>
      </x:c>
      <x:c r="M158" s="30" t="n">
        <x:v>0</x:v>
      </x:c>
      <x:c r="N158" s="30" t="n">
        <x:v>0</x:v>
      </x:c>
      <x:c r="O158" s="30" t="n">
        <x:v>-1</x:v>
      </x:c>
      <x:c r="P158" s="30" t="n">
        <x:v>0</x:v>
      </x:c>
      <x:c r="Q158" s="30" t="n">
        <x:v>0</x:v>
      </x:c>
      <x:c r="R158" s="30" t="n">
        <x:v>0</x:v>
      </x:c>
      <x:c r="S158" s="30" t="n">
        <x:v>0</x:v>
      </x:c>
      <x:c r="T158" s="30" t="n">
        <x:v>0</x:v>
      </x:c>
      <x:c r="U158" s="30" t="n">
        <x:v>1</x:v>
      </x:c>
      <x:c r="V158" s="30" t="str">
        <x:v>10</x:v>
      </x:c>
    </x:row>
    <x:row r="159">
      <x:c r="A159" s="29" t="str">
        <x:v>20090000</x:v>
      </x:c>
      <x:c r="B159" s="30" t="str">
        <x:v>VP-67EB</x:v>
      </x:c>
      <x:c r="C159" s="30" t="str">
        <x:v>Available</x:v>
      </x:c>
      <x:c r="D159" s="30" t="str">
        <x:v>STUN BATON - VP-67EB</x:v>
      </x:c>
      <x:c r="E159" s="30" t="n">
        <x:v>2</x:v>
      </x:c>
      <x:c r="F159" s="30" t="n">
        <x:v>1720</x:v>
      </x:c>
      <x:c r="G159" s="30" t="n">
        <x:v>198</x:v>
      </x:c>
      <x:c r="H159" s="30" t="n">
        <x:v>0</x:v>
      </x:c>
      <x:c r="I159" s="30" t="n">
        <x:v>0</x:v>
      </x:c>
      <x:c r="J159" s="30" t="n">
        <x:v>0</x:v>
      </x:c>
      <x:c r="K159" s="30" t="n">
        <x:v>0</x:v>
      </x:c>
      <x:c r="L159" s="30" t="n">
        <x:v>0</x:v>
      </x:c>
      <x:c r="M159" s="30" t="n">
        <x:v>0</x:v>
      </x:c>
      <x:c r="N159" s="30" t="n">
        <x:v>0</x:v>
      </x:c>
      <x:c r="O159" s="30" t="n">
        <x:v>-1</x:v>
      </x:c>
      <x:c r="P159" s="30" t="n">
        <x:v>0</x:v>
      </x:c>
      <x:c r="Q159" s="30" t="n">
        <x:v>0</x:v>
      </x:c>
      <x:c r="R159" s="30" t="n">
        <x:v>2</x:v>
      </x:c>
      <x:c r="S159" s="30" t="n">
        <x:v>2</x:v>
      </x:c>
      <x:c r="T159" s="30" t="n">
        <x:v>2</x:v>
      </x:c>
      <x:c r="U159" s="30" t="n">
        <x:v>1</x:v>
      </x:c>
      <x:c r="V159" s="30" t="str">
        <x:v>910</x:v>
      </x:c>
    </x:row>
    <x:row r="160">
      <x:c r="A160" s="29" t="str">
        <x:v>20100000</x:v>
      </x:c>
      <x:c r="B160" s="30" t="str">
        <x:v>DF-ET-09 TAI-YANG-SHOU</x:v>
      </x:c>
      <x:c r="C160" s="30" t="str">
        <x:v>Available</x:v>
      </x:c>
      <x:c r="D160" s="30" t="str">
        <x:v>EXPLOSIVE THROWER - DF-ET-09 TAI-YANG-SHOU</x:v>
      </x:c>
      <x:c r="E160" s="30" t="n">
        <x:v>2</x:v>
      </x:c>
      <x:c r="F160" s="30" t="n">
        <x:v>3790</x:v>
      </x:c>
      <x:c r="G160" s="30" t="n">
        <x:v>160</x:v>
      </x:c>
      <x:c r="H160" s="30" t="n">
        <x:v>1</x:v>
      </x:c>
      <x:c r="I160" s="30" t="n">
        <x:v>0</x:v>
      </x:c>
      <x:c r="J160" s="30" t="n">
        <x:v>1</x:v>
      </x:c>
      <x:c r="K160" s="30" t="n">
        <x:v>1</x:v>
      </x:c>
      <x:c r="L160" s="30" t="n">
        <x:v>1</x:v>
      </x:c>
      <x:c r="M160" s="30" t="n">
        <x:v>1</x:v>
      </x:c>
      <x:c r="N160" s="30" t="n">
        <x:v>0</x:v>
      </x:c>
      <x:c r="O160" s="30" t="n">
        <x:v>48</x:v>
      </x:c>
      <x:c r="P160" s="30" t="n">
        <x:v>3.1</x:v>
      </x:c>
      <x:c r="Q160" s="30" t="n">
        <x:v>0</x:v>
      </x:c>
      <x:c r="R160" s="30" t="n">
        <x:v>1</x:v>
      </x:c>
      <x:c r="S160" s="30" t="n">
        <x:v>1</x:v>
      </x:c>
      <x:c r="T160" s="30" t="n">
        <x:v>1</x:v>
      </x:c>
      <x:c r="U160" s="30" t="n">
        <x:v>1</x:v>
      </x:c>
      <x:c r="V160" s="30" t="str">
        <x:v>510</x:v>
      </x:c>
    </x:row>
    <x:row r="161">
      <x:c r="A161" s="29" t="str">
        <x:v>25000000</x:v>
      </x:c>
      <x:c r="B161" s="30" t="str">
        <x:v>VP-61PB</x:v>
      </x:c>
      <x:c r="C161" s="30" t="str">
        <x:v>Available</x:v>
      </x:c>
      <x:c r="D161" s="30" t="str">
        <x:v>PULSE BUCKLER - VP-61PB</x:v>
      </x:c>
      <x:c r="E161" s="30" t="n">
        <x:v>3</x:v>
      </x:c>
      <x:c r="F161" s="30" t="n">
        <x:v>1920</x:v>
      </x:c>
      <x:c r="G161" s="30" t="n">
        <x:v>285</x:v>
      </x:c>
      <x:c r="H161" s="30" t="n">
        <x:v>0</x:v>
      </x:c>
      <x:c r="I161" s="30" t="n">
        <x:v>0</x:v>
      </x:c>
      <x:c r="J161" s="30" t="n">
        <x:v>0</x:v>
      </x:c>
      <x:c r="K161" s="30" t="n">
        <x:v>0</x:v>
      </x:c>
      <x:c r="L161" s="30" t="n">
        <x:v>0</x:v>
      </x:c>
      <x:c r="M161" s="30" t="n">
        <x:v>0</x:v>
      </x:c>
      <x:c r="N161" s="30" t="n">
        <x:v>0</x:v>
      </x:c>
      <x:c r="O161" s="30" t="n">
        <x:v>-1</x:v>
      </x:c>
      <x:c r="P161" s="30" t="n">
        <x:v>0</x:v>
      </x:c>
      <x:c r="Q161" s="30" t="n">
        <x:v>0</x:v>
      </x:c>
      <x:c r="R161" s="30" t="n">
        <x:v>0</x:v>
      </x:c>
      <x:c r="S161" s="30" t="n">
        <x:v>0</x:v>
      </x:c>
      <x:c r="T161" s="30" t="n">
        <x:v>0</x:v>
      </x:c>
      <x:c r="U161" s="30" t="n">
        <x:v>1</x:v>
      </x:c>
      <x:c r="V161" s="30" t="str">
        <x:v>4910</x:v>
      </x:c>
    </x:row>
    <x:row r="162">
      <x:c r="A162" s="29" t="str">
        <x:v>25000100</x:v>
      </x:c>
      <x:c r="B162" s="30" t="str">
        <x:v>SI-24: SU-Q5</x:v>
      </x:c>
      <x:c r="C162" s="30" t="str">
        <x:v>Available</x:v>
      </x:c>
      <x:c r="D162" s="30" t="str">
        <x:v>PULSE SHIELD - SI-24: SU-Q5</x:v>
      </x:c>
      <x:c r="E162" s="30" t="n">
        <x:v>3</x:v>
      </x:c>
      <x:c r="F162" s="30" t="n">
        <x:v>2010</x:v>
      </x:c>
      <x:c r="G162" s="30" t="n">
        <x:v>220</x:v>
      </x:c>
      <x:c r="H162" s="30" t="n">
        <x:v>0</x:v>
      </x:c>
      <x:c r="I162" s="30" t="n">
        <x:v>0</x:v>
      </x:c>
      <x:c r="J162" s="30" t="n">
        <x:v>0</x:v>
      </x:c>
      <x:c r="K162" s="30" t="n">
        <x:v>0</x:v>
      </x:c>
      <x:c r="L162" s="30" t="n">
        <x:v>0</x:v>
      </x:c>
      <x:c r="M162" s="30" t="n">
        <x:v>0</x:v>
      </x:c>
      <x:c r="N162" s="30" t="n">
        <x:v>0</x:v>
      </x:c>
      <x:c r="O162" s="30" t="n">
        <x:v>-1</x:v>
      </x:c>
      <x:c r="P162" s="30" t="n">
        <x:v>0</x:v>
      </x:c>
      <x:c r="Q162" s="30" t="n">
        <x:v>0</x:v>
      </x:c>
      <x:c r="R162" s="30" t="n">
        <x:v>0</x:v>
      </x:c>
      <x:c r="S162" s="30" t="n">
        <x:v>0</x:v>
      </x:c>
      <x:c r="T162" s="30" t="n">
        <x:v>0</x:v>
      </x:c>
      <x:c r="U162" s="30" t="n">
        <x:v>1</x:v>
      </x:c>
      <x:c r="V162" s="30" t="str">
        <x:v>4920</x:v>
      </x:c>
    </x:row>
    <x:row r="163">
      <x:c r="A163" s="29" t="str">
        <x:v>25010000</x:v>
      </x:c>
      <x:c r="B163" s="30" t="str">
        <x:v>VP-61PS</x:v>
      </x:c>
      <x:c r="C163" s="30" t="str">
        <x:v>Available</x:v>
      </x:c>
      <x:c r="D163" s="30" t="str">
        <x:v>PULSE SHIELD - VP-61PS</x:v>
      </x:c>
      <x:c r="E163" s="30" t="n">
        <x:v>3</x:v>
      </x:c>
      <x:c r="F163" s="30" t="n">
        <x:v>2700</x:v>
      </x:c>
      <x:c r="G163" s="30" t="n">
        <x:v>310</x:v>
      </x:c>
      <x:c r="H163" s="30" t="n">
        <x:v>0</x:v>
      </x:c>
      <x:c r="I163" s="30" t="n">
        <x:v>0</x:v>
      </x:c>
      <x:c r="J163" s="30" t="n">
        <x:v>0</x:v>
      </x:c>
      <x:c r="K163" s="30" t="n">
        <x:v>0</x:v>
      </x:c>
      <x:c r="L163" s="30" t="n">
        <x:v>0</x:v>
      </x:c>
      <x:c r="M163" s="30" t="n">
        <x:v>0</x:v>
      </x:c>
      <x:c r="N163" s="30" t="n">
        <x:v>0</x:v>
      </x:c>
      <x:c r="O163" s="30" t="n">
        <x:v>-1</x:v>
      </x:c>
      <x:c r="P163" s="30" t="n">
        <x:v>0</x:v>
      </x:c>
      <x:c r="Q163" s="30" t="n">
        <x:v>0</x:v>
      </x:c>
      <x:c r="R163" s="30" t="n">
        <x:v>0</x:v>
      </x:c>
      <x:c r="S163" s="30" t="n">
        <x:v>0</x:v>
      </x:c>
      <x:c r="T163" s="30" t="n">
        <x:v>0</x:v>
      </x:c>
      <x:c r="U163" s="30" t="n">
        <x:v>1</x:v>
      </x:c>
      <x:c r="V163" s="30" t="str">
        <x:v>4940</x:v>
      </x:c>
    </x:row>
    <x:row r="164">
      <x:c r="A164" s="29" t="str">
        <x:v>25010100</x:v>
      </x:c>
      <x:c r="B164" s="30" t="str">
        <x:v>SI-27: SU-R8</x:v>
      </x:c>
      <x:c r="C164" s="30" t="str">
        <x:v>Available</x:v>
      </x:c>
      <x:c r="D164" s="30" t="str">
        <x:v>PULSE SHIELD - SI-27: SU-R8</x:v>
      </x:c>
      <x:c r="E164" s="30" t="n">
        <x:v>3</x:v>
      </x:c>
      <x:c r="F164" s="30" t="n">
        <x:v>3150</x:v>
      </x:c>
      <x:c r="G164" s="30" t="n">
        <x:v>258</x:v>
      </x:c>
      <x:c r="H164" s="30" t="n">
        <x:v>0</x:v>
      </x:c>
      <x:c r="I164" s="30" t="n">
        <x:v>0</x:v>
      </x:c>
      <x:c r="J164" s="30" t="n">
        <x:v>0</x:v>
      </x:c>
      <x:c r="K164" s="30" t="n">
        <x:v>0</x:v>
      </x:c>
      <x:c r="L164" s="30" t="n">
        <x:v>0</x:v>
      </x:c>
      <x:c r="M164" s="30" t="n">
        <x:v>0</x:v>
      </x:c>
      <x:c r="N164" s="30" t="n">
        <x:v>0</x:v>
      </x:c>
      <x:c r="O164" s="30" t="n">
        <x:v>-1</x:v>
      </x:c>
      <x:c r="P164" s="30" t="n">
        <x:v>0</x:v>
      </x:c>
      <x:c r="Q164" s="30" t="n">
        <x:v>0</x:v>
      </x:c>
      <x:c r="R164" s="30" t="n">
        <x:v>0</x:v>
      </x:c>
      <x:c r="S164" s="30" t="n">
        <x:v>0</x:v>
      </x:c>
      <x:c r="T164" s="30" t="n">
        <x:v>0</x:v>
      </x:c>
      <x:c r="U164" s="30" t="n">
        <x:v>1</x:v>
      </x:c>
      <x:c r="V164" s="30" t="str">
        <x:v>4950</x:v>
      </x:c>
    </x:row>
    <x:row r="165">
      <x:c r="A165" s="29" t="str">
        <x:v>25010200</x:v>
      </x:c>
      <x:c r="B165" s="30" t="str">
        <x:v>SI-29: SU-TT/C</x:v>
      </x:c>
      <x:c r="C165" s="30" t="str">
        <x:v>Available</x:v>
      </x:c>
      <x:c r="D165" s="30" t="str">
        <x:v>PULSE BUCKLER - SI-29: SU-TT/C</x:v>
      </x:c>
      <x:c r="E165" s="30" t="n">
        <x:v>3</x:v>
      </x:c>
      <x:c r="F165" s="30" t="n">
        <x:v>3380</x:v>
      </x:c>
      <x:c r="G165" s="30" t="n">
        <x:v>385</x:v>
      </x:c>
      <x:c r="H165" s="30" t="n">
        <x:v>0</x:v>
      </x:c>
      <x:c r="I165" s="30" t="n">
        <x:v>0</x:v>
      </x:c>
      <x:c r="J165" s="30" t="n">
        <x:v>0</x:v>
      </x:c>
      <x:c r="K165" s="30" t="n">
        <x:v>0</x:v>
      </x:c>
      <x:c r="L165" s="30" t="n">
        <x:v>0</x:v>
      </x:c>
      <x:c r="M165" s="30" t="n">
        <x:v>0</x:v>
      </x:c>
      <x:c r="N165" s="30" t="n">
        <x:v>0</x:v>
      </x:c>
      <x:c r="O165" s="30" t="n">
        <x:v>-1</x:v>
      </x:c>
      <x:c r="P165" s="30" t="n">
        <x:v>0</x:v>
      </x:c>
      <x:c r="Q165" s="30" t="n">
        <x:v>0</x:v>
      </x:c>
      <x:c r="R165" s="30" t="n">
        <x:v>0</x:v>
      </x:c>
      <x:c r="S165" s="30" t="n">
        <x:v>0</x:v>
      </x:c>
      <x:c r="T165" s="30" t="n">
        <x:v>0</x:v>
      </x:c>
      <x:c r="U165" s="30" t="n">
        <x:v>1</x:v>
      </x:c>
      <x:c r="V165" s="30" t="str">
        <x:v>4960</x:v>
      </x:c>
    </x:row>
    <x:row r="166">
      <x:c r="A166" s="29" t="str">
        <x:v>25010300</x:v>
      </x:c>
      <x:c r="B166" s="30" t="str">
        <x:v>IB-C03W4: NGI 028</x:v>
      </x:c>
      <x:c r="C166" s="30" t="str">
        <x:v>Available</x:v>
      </x:c>
      <x:c r="D166" s="30" t="str">
        <x:v>CORAL SHIELD - IB-C03W4: NGI 028</x:v>
      </x:c>
      <x:c r="E166" s="30" t="n">
        <x:v>3</x:v>
      </x:c>
      <x:c r="F166" s="30" t="n">
        <x:v>2170</x:v>
      </x:c>
      <x:c r="G166" s="30" t="n">
        <x:v>800</x:v>
      </x:c>
      <x:c r="H166" s="30" t="n">
        <x:v>0</x:v>
      </x:c>
      <x:c r="I166" s="30" t="n">
        <x:v>0</x:v>
      </x:c>
      <x:c r="J166" s="30" t="n">
        <x:v>0</x:v>
      </x:c>
      <x:c r="K166" s="30" t="n">
        <x:v>0</x:v>
      </x:c>
      <x:c r="L166" s="30" t="n">
        <x:v>0</x:v>
      </x:c>
      <x:c r="M166" s="30" t="n">
        <x:v>0</x:v>
      </x:c>
      <x:c r="N166" s="30" t="n">
        <x:v>0</x:v>
      </x:c>
      <x:c r="O166" s="30" t="n">
        <x:v>-1</x:v>
      </x:c>
      <x:c r="P166" s="30" t="n">
        <x:v>0</x:v>
      </x:c>
      <x:c r="Q166" s="30" t="n">
        <x:v>0</x:v>
      </x:c>
      <x:c r="R166" s="30" t="n">
        <x:v>0</x:v>
      </x:c>
      <x:c r="S166" s="30" t="n">
        <x:v>0</x:v>
      </x:c>
      <x:c r="T166" s="30" t="n">
        <x:v>0</x:v>
      </x:c>
      <x:c r="U166" s="30" t="n">
        <x:v>1</x:v>
      </x:c>
      <x:c r="V166" s="30" t="str">
        <x:v>4970</x:v>
      </x:c>
    </x:row>
    <x:row r="167">
      <x:c r="A167" s="29" t="str">
        <x:v>25020000</x:v>
      </x:c>
      <x:c r="B167" s="30" t="str">
        <x:v>VE-61PSA</x:v>
      </x:c>
      <x:c r="C167" s="30" t="str">
        <x:v>Available</x:v>
      </x:c>
      <x:c r="D167" s="30" t="str">
        <x:v>PULSE SCUTUM - VE-61PSA</x:v>
      </x:c>
      <x:c r="E167" s="30" t="n">
        <x:v>3</x:v>
      </x:c>
      <x:c r="F167" s="30" t="n">
        <x:v>4100</x:v>
      </x:c>
      <x:c r="G167" s="30" t="n">
        <x:v>480</x:v>
      </x:c>
      <x:c r="H167" s="30" t="n">
        <x:v>0</x:v>
      </x:c>
      <x:c r="I167" s="30" t="n">
        <x:v>0</x:v>
      </x:c>
      <x:c r="J167" s="30" t="n">
        <x:v>0</x:v>
      </x:c>
      <x:c r="K167" s="30" t="n">
        <x:v>0</x:v>
      </x:c>
      <x:c r="L167" s="30" t="n">
        <x:v>0</x:v>
      </x:c>
      <x:c r="M167" s="30" t="n">
        <x:v>0</x:v>
      </x:c>
      <x:c r="N167" s="30" t="n">
        <x:v>0</x:v>
      </x:c>
      <x:c r="O167" s="30" t="n">
        <x:v>-1</x:v>
      </x:c>
      <x:c r="P167" s="30" t="n">
        <x:v>0</x:v>
      </x:c>
      <x:c r="Q167" s="30" t="n">
        <x:v>0</x:v>
      </x:c>
      <x:c r="R167" s="30" t="n">
        <x:v>0</x:v>
      </x:c>
      <x:c r="S167" s="30" t="n">
        <x:v>0</x:v>
      </x:c>
      <x:c r="T167" s="30" t="n">
        <x:v>0</x:v>
      </x:c>
      <x:c r="U167" s="30" t="n">
        <x:v>1</x:v>
      </x:c>
      <x:c r="V167" s="30" t="str">
        <x:v>4980</x:v>
      </x:c>
    </x:row>
    <x:row r="168">
      <x:c r="A168" s="29" t="str">
        <x:v>30000000</x:v>
      </x:c>
      <x:c r="B168" s="30" t="str">
        <x:v>Vvc-703PM</x:v>
      </x:c>
      <x:c r="C168" s="30" t="str">
        <x:v>Available</x:v>
      </x:c>
      <x:c r="D168" s="30" t="str">
        <x:v>PLASMA MISSILE LAUNCHER - Vvc-703PM (Right)</x:v>
      </x:c>
      <x:c r="E168" s="30" t="n">
        <x:v>5</x:v>
      </x:c>
      <x:c r="F168" s="30" t="n">
        <x:v>2310</x:v>
      </x:c>
      <x:c r="G168" s="30" t="n">
        <x:v>210</x:v>
      </x:c>
      <x:c r="H168" s="30" t="n">
        <x:v>1</x:v>
      </x:c>
      <x:c r="I168" s="30" t="n">
        <x:v>1</x:v>
      </x:c>
      <x:c r="J168" s="30" t="n">
        <x:v>1</x:v>
      </x:c>
      <x:c r="K168" s="30" t="n">
        <x:v>1</x:v>
      </x:c>
      <x:c r="L168" s="30" t="n">
        <x:v>1</x:v>
      </x:c>
      <x:c r="M168" s="30" t="n">
        <x:v>1</x:v>
      </x:c>
      <x:c r="N168" s="30" t="n">
        <x:v>0</x:v>
      </x:c>
      <x:c r="O168" s="30" t="n">
        <x:v>120</x:v>
      </x:c>
      <x:c r="P168" s="30" t="n">
        <x:v>4.2</x:v>
      </x:c>
      <x:c r="Q168" s="30" t="n">
        <x:v>0</x:v>
      </x:c>
      <x:c r="R168" s="30" t="n">
        <x:v>0</x:v>
      </x:c>
      <x:c r="S168" s="30" t="n">
        <x:v>0</x:v>
      </x:c>
      <x:c r="T168" s="30" t="n">
        <x:v>0</x:v>
      </x:c>
      <x:c r="U168" s="30" t="n">
        <x:v>1</x:v>
      </x:c>
      <x:c r="V168" s="30" t="str">
        <x:v>4210</x:v>
      </x:c>
    </x:row>
    <x:row r="169">
      <x:c r="A169" s="29" t="str">
        <x:v>30000100</x:v>
      </x:c>
      <x:c r="B169" s="30" t="str">
        <x:v>Vvc-70VPM</x:v>
      </x:c>
      <x:c r="C169" s="30" t="str">
        <x:v>Available</x:v>
      </x:c>
      <x:c r="D169" s="30" t="str">
        <x:v>PLASMA MISSILE LAUNCHER - Vvc-70VPM (Right)</x:v>
      </x:c>
      <x:c r="E169" s="30" t="n">
        <x:v>5</x:v>
      </x:c>
      <x:c r="F169" s="30" t="n">
        <x:v>3760</x:v>
      </x:c>
      <x:c r="G169" s="30" t="n">
        <x:v>268</x:v>
      </x:c>
      <x:c r="H169" s="30" t="n">
        <x:v>2</x:v>
      </x:c>
      <x:c r="I169" s="30" t="n">
        <x:v>2</x:v>
      </x:c>
      <x:c r="J169" s="30" t="n">
        <x:v>2</x:v>
      </x:c>
      <x:c r="K169" s="30" t="n">
        <x:v>2</x:v>
      </x:c>
      <x:c r="L169" s="30" t="n">
        <x:v>2</x:v>
      </x:c>
      <x:c r="M169" s="30" t="n">
        <x:v>2</x:v>
      </x:c>
      <x:c r="N169" s="30" t="n">
        <x:v>1</x:v>
      </x:c>
      <x:c r="O169" s="30" t="n">
        <x:v>240</x:v>
      </x:c>
      <x:c r="P169" s="30" t="n">
        <x:v>6.2</x:v>
      </x:c>
      <x:c r="Q169" s="30" t="n">
        <x:v>0</x:v>
      </x:c>
      <x:c r="R169" s="30" t="n">
        <x:v>0</x:v>
      </x:c>
      <x:c r="S169" s="30" t="n">
        <x:v>0</x:v>
      </x:c>
      <x:c r="T169" s="30" t="n">
        <x:v>0</x:v>
      </x:c>
      <x:c r="U169" s="30" t="n">
        <x:v>1</x:v>
      </x:c>
      <x:c r="V169" s="30" t="str">
        <x:v>4220</x:v>
      </x:c>
    </x:row>
    <x:row r="170">
      <x:c r="A170" s="29" t="str">
        <x:v>30000200</x:v>
      </x:c>
      <x:c r="B170" s="30" t="str">
        <x:v>Vvc-706PM</x:v>
      </x:c>
      <x:c r="C170" s="30" t="str">
        <x:v>Available</x:v>
      </x:c>
      <x:c r="D170" s="30" t="str">
        <x:v>PLASMA MISSILE LAUNCHER - Vvc-706PM (Right)</x:v>
      </x:c>
      <x:c r="E170" s="30" t="n">
        <x:v>5</x:v>
      </x:c>
      <x:c r="F170" s="30" t="n">
        <x:v>3650</x:v>
      </x:c>
      <x:c r="G170" s="30" t="n">
        <x:v>276</x:v>
      </x:c>
      <x:c r="H170" s="30" t="n">
        <x:v>1</x:v>
      </x:c>
      <x:c r="I170" s="30" t="n">
        <x:v>1</x:v>
      </x:c>
      <x:c r="J170" s="30" t="n">
        <x:v>1</x:v>
      </x:c>
      <x:c r="K170" s="30" t="n">
        <x:v>1</x:v>
      </x:c>
      <x:c r="L170" s="30" t="n">
        <x:v>1</x:v>
      </x:c>
      <x:c r="M170" s="30" t="n">
        <x:v>1</x:v>
      </x:c>
      <x:c r="N170" s="30" t="n">
        <x:v>0</x:v>
      </x:c>
      <x:c r="O170" s="30" t="n">
        <x:v>210</x:v>
      </x:c>
      <x:c r="P170" s="30" t="n">
        <x:v>6</x:v>
      </x:c>
      <x:c r="Q170" s="30" t="n">
        <x:v>0</x:v>
      </x:c>
      <x:c r="R170" s="30" t="n">
        <x:v>0</x:v>
      </x:c>
      <x:c r="S170" s="30" t="n">
        <x:v>0</x:v>
      </x:c>
      <x:c r="T170" s="30" t="n">
        <x:v>0</x:v>
      </x:c>
      <x:c r="U170" s="30" t="n">
        <x:v>1</x:v>
      </x:c>
      <x:c r="V170" s="30" t="str">
        <x:v>4211</x:v>
      </x:c>
    </x:row>
    <x:row r="171">
      <x:c r="A171" s="29" t="str">
        <x:v>30010000</x:v>
      </x:c>
      <x:c r="B171" s="30" t="str">
        <x:v>BML-G3/P05ACT-02</x:v>
      </x:c>
      <x:c r="C171" s="30" t="str">
        <x:v>Available</x:v>
      </x:c>
      <x:c r="D171" s="30" t="str">
        <x:v>ACTIVE HOMING MISSILE LAUNCHER - BML-G3/P05ACT-02 (Right)</x:v>
      </x:c>
      <x:c r="E171" s="30" t="n">
        <x:v>5</x:v>
      </x:c>
      <x:c r="F171" s="30" t="n">
        <x:v>4320</x:v>
      </x:c>
      <x:c r="G171" s="30" t="n">
        <x:v>424</x:v>
      </x:c>
      <x:c r="H171" s="30" t="n">
        <x:v>1</x:v>
      </x:c>
      <x:c r="I171" s="30" t="n">
        <x:v>0</x:v>
      </x:c>
      <x:c r="J171" s="30" t="n">
        <x:v>1</x:v>
      </x:c>
      <x:c r="K171" s="30" t="n">
        <x:v>1</x:v>
      </x:c>
      <x:c r="L171" s="30" t="n">
        <x:v>1</x:v>
      </x:c>
      <x:c r="M171" s="30" t="n">
        <x:v>1</x:v>
      </x:c>
      <x:c r="N171" s="30" t="n">
        <x:v>0</x:v>
      </x:c>
      <x:c r="O171" s="30" t="n">
        <x:v>72</x:v>
      </x:c>
      <x:c r="P171" s="30" t="n">
        <x:v>4.2</x:v>
      </x:c>
      <x:c r="Q171" s="30" t="n">
        <x:v>0</x:v>
      </x:c>
      <x:c r="R171" s="30" t="n">
        <x:v>0</x:v>
      </x:c>
      <x:c r="S171" s="30" t="n">
        <x:v>0</x:v>
      </x:c>
      <x:c r="T171" s="30" t="n">
        <x:v>0</x:v>
      </x:c>
      <x:c r="U171" s="30" t="n">
        <x:v>1</x:v>
      </x:c>
      <x:c r="V171" s="30" t="str">
        <x:v>4230</x:v>
      </x:c>
    </x:row>
    <x:row r="172">
      <x:c r="A172" s="29" t="str">
        <x:v>30010100</x:v>
      </x:c>
      <x:c r="B172" s="30" t="str">
        <x:v>BML-G3/P04ACT-01</x:v>
      </x:c>
      <x:c r="C172" s="30" t="str">
        <x:v>Available</x:v>
      </x:c>
      <x:c r="D172" s="30" t="str">
        <x:v>ACTIVE HOMING MISSILE LAUNCHER - BML-G3/P04ACT-01 (Right)</x:v>
      </x:c>
      <x:c r="E172" s="30" t="n">
        <x:v>5</x:v>
      </x:c>
      <x:c r="F172" s="30" t="n">
        <x:v>2270</x:v>
      </x:c>
      <x:c r="G172" s="30" t="n">
        <x:v>213</x:v>
      </x:c>
      <x:c r="H172" s="30" t="n">
        <x:v>1</x:v>
      </x:c>
      <x:c r="I172" s="30" t="n">
        <x:v>0</x:v>
      </x:c>
      <x:c r="J172" s="30" t="n">
        <x:v>1</x:v>
      </x:c>
      <x:c r="K172" s="30" t="n">
        <x:v>1</x:v>
      </x:c>
      <x:c r="L172" s="30" t="n">
        <x:v>1</x:v>
      </x:c>
      <x:c r="M172" s="30" t="n">
        <x:v>1</x:v>
      </x:c>
      <x:c r="N172" s="30" t="n">
        <x:v>0</x:v>
      </x:c>
      <x:c r="O172" s="30" t="n">
        <x:v>45</x:v>
      </x:c>
      <x:c r="P172" s="30" t="n">
        <x:v>2.4</x:v>
      </x:c>
      <x:c r="Q172" s="30" t="n">
        <x:v>0</x:v>
      </x:c>
      <x:c r="R172" s="30" t="n">
        <x:v>0</x:v>
      </x:c>
      <x:c r="S172" s="30" t="n">
        <x:v>0</x:v>
      </x:c>
      <x:c r="T172" s="30" t="n">
        <x:v>0</x:v>
      </x:c>
      <x:c r="U172" s="30" t="n">
        <x:v>1</x:v>
      </x:c>
      <x:c r="V172" s="30" t="str">
        <x:v>4231</x:v>
      </x:c>
    </x:row>
    <x:row r="173">
      <x:c r="A173" s="29" t="str">
        <x:v>30020000</x:v>
      </x:c>
      <x:c r="B173" s="30" t="str">
        <x:v>BML-G2/P03MLT-06</x:v>
      </x:c>
      <x:c r="C173" s="30" t="str">
        <x:v>Available</x:v>
      </x:c>
      <x:c r="D173" s="30" t="str">
        <x:v>MISSILE LAUNCHER - BML-G2/P03MLT-06 (Right)</x:v>
      </x:c>
      <x:c r="E173" s="30" t="n">
        <x:v>5</x:v>
      </x:c>
      <x:c r="F173" s="30" t="n">
        <x:v>3610</x:v>
      </x:c>
      <x:c r="G173" s="30" t="n">
        <x:v>241</x:v>
      </x:c>
      <x:c r="H173" s="30" t="n">
        <x:v>0</x:v>
      </x:c>
      <x:c r="I173" s="30" t="n">
        <x:v>0</x:v>
      </x:c>
      <x:c r="J173" s="30" t="n">
        <x:v>0</x:v>
      </x:c>
      <x:c r="K173" s="30" t="n">
        <x:v>0</x:v>
      </x:c>
      <x:c r="L173" s="30" t="n">
        <x:v>0</x:v>
      </x:c>
      <x:c r="M173" s="30" t="n">
        <x:v>0</x:v>
      </x:c>
      <x:c r="N173" s="30" t="n">
        <x:v>0</x:v>
      </x:c>
      <x:c r="O173" s="30" t="n">
        <x:v>228</x:v>
      </x:c>
      <x:c r="P173" s="30" t="n">
        <x:v>4</x:v>
      </x:c>
      <x:c r="Q173" s="30" t="n">
        <x:v>0</x:v>
      </x:c>
      <x:c r="R173" s="30" t="n">
        <x:v>1</x:v>
      </x:c>
      <x:c r="S173" s="30" t="n">
        <x:v>1</x:v>
      </x:c>
      <x:c r="T173" s="30" t="n">
        <x:v>1</x:v>
      </x:c>
      <x:c r="U173" s="30" t="n">
        <x:v>1</x:v>
      </x:c>
      <x:c r="V173" s="30" t="str">
        <x:v>4290</x:v>
      </x:c>
    </x:row>
    <x:row r="174">
      <x:c r="A174" s="29" t="str">
        <x:v>30020100</x:v>
      </x:c>
      <x:c r="B174" s="30" t="str">
        <x:v>BML-G1/P20MLT-04</x:v>
      </x:c>
      <x:c r="C174" s="30" t="str">
        <x:v>Available</x:v>
      </x:c>
      <x:c r="D174" s="30" t="str">
        <x:v>MISSILE LAUNCHER - BML-G1/P20MLT-04 (Right)</x:v>
      </x:c>
      <x:c r="E174" s="30" t="n">
        <x:v>5</x:v>
      </x:c>
      <x:c r="F174" s="30" t="n">
        <x:v>1770</x:v>
      </x:c>
      <x:c r="G174" s="30" t="n">
        <x:v>154</x:v>
      </x:c>
      <x:c r="H174" s="30" t="n">
        <x:v>0</x:v>
      </x:c>
      <x:c r="I174" s="30" t="n">
        <x:v>0</x:v>
      </x:c>
      <x:c r="J174" s="30" t="n">
        <x:v>0</x:v>
      </x:c>
      <x:c r="K174" s="30" t="n">
        <x:v>0</x:v>
      </x:c>
      <x:c r="L174" s="30" t="n">
        <x:v>0</x:v>
      </x:c>
      <x:c r="M174" s="30" t="n">
        <x:v>0</x:v>
      </x:c>
      <x:c r="N174" s="30" t="n">
        <x:v>0</x:v>
      </x:c>
      <x:c r="O174" s="30" t="n">
        <x:v>140</x:v>
      </x:c>
      <x:c r="P174" s="30" t="n">
        <x:v>3.8</x:v>
      </x:c>
      <x:c r="Q174" s="30" t="n">
        <x:v>0</x:v>
      </x:c>
      <x:c r="R174" s="30" t="n">
        <x:v>1</x:v>
      </x:c>
      <x:c r="S174" s="30" t="n">
        <x:v>1</x:v>
      </x:c>
      <x:c r="T174" s="30" t="n">
        <x:v>1</x:v>
      </x:c>
      <x:c r="U174" s="30" t="n">
        <x:v>1</x:v>
      </x:c>
      <x:c r="V174" s="30" t="str">
        <x:v>4291</x:v>
      </x:c>
    </x:row>
    <x:row r="175">
      <x:c r="A175" s="29" t="str">
        <x:v>30020200</x:v>
      </x:c>
      <x:c r="B175" s="30" t="str">
        <x:v>BML-G2/P05MLT-10</x:v>
      </x:c>
      <x:c r="C175" s="30" t="str">
        <x:v>Available</x:v>
      </x:c>
      <x:c r="D175" s="30" t="str">
        <x:v>MISSILE LAUNCHER - BML-G2/P05MLT-10 (Right)</x:v>
      </x:c>
      <x:c r="E175" s="30" t="n">
        <x:v>5</x:v>
      </x:c>
      <x:c r="F175" s="30" t="n">
        <x:v>5220</x:v>
      </x:c>
      <x:c r="G175" s="30" t="n">
        <x:v>320</x:v>
      </x:c>
      <x:c r="H175" s="30" t="n">
        <x:v>0</x:v>
      </x:c>
      <x:c r="I175" s="30" t="n">
        <x:v>0</x:v>
      </x:c>
      <x:c r="J175" s="30" t="n">
        <x:v>0</x:v>
      </x:c>
      <x:c r="K175" s="30" t="n">
        <x:v>0</x:v>
      </x:c>
      <x:c r="L175" s="30" t="n">
        <x:v>0</x:v>
      </x:c>
      <x:c r="M175" s="30" t="n">
        <x:v>0</x:v>
      </x:c>
      <x:c r="N175" s="30" t="n">
        <x:v>0</x:v>
      </x:c>
      <x:c r="O175" s="30" t="n">
        <x:v>300</x:v>
      </x:c>
      <x:c r="P175" s="30" t="n">
        <x:v>6.4</x:v>
      </x:c>
      <x:c r="Q175" s="30" t="n">
        <x:v>0</x:v>
      </x:c>
      <x:c r="R175" s="30" t="n">
        <x:v>1</x:v>
      </x:c>
      <x:c r="S175" s="30" t="n">
        <x:v>1</x:v>
      </x:c>
      <x:c r="T175" s="30" t="n">
        <x:v>1</x:v>
      </x:c>
      <x:c r="U175" s="30" t="n">
        <x:v>1</x:v>
      </x:c>
      <x:c r="V175" s="30" t="str">
        <x:v>4292</x:v>
      </x:c>
    </x:row>
    <x:row r="176">
      <x:c r="A176" s="29" t="str">
        <x:v>30030000</x:v>
      </x:c>
      <x:c r="B176" s="30" t="str">
        <x:v>IB-C03W3: NGI 006</x:v>
      </x:c>
      <x:c r="C176" s="30" t="str">
        <x:v>Available</x:v>
      </x:c>
      <x:c r="D176" s="30" t="str">
        <x:v>CORAL MISSILE LAUNCHER - IB-C03W3: NGI 006 (Right)</x:v>
      </x:c>
      <x:c r="E176" s="30" t="n">
        <x:v>5</x:v>
      </x:c>
      <x:c r="F176" s="30" t="n">
        <x:v>4200</x:v>
      </x:c>
      <x:c r="G176" s="30" t="n">
        <x:v>783</x:v>
      </x:c>
      <x:c r="H176" s="30" t="n">
        <x:v>2</x:v>
      </x:c>
      <x:c r="I176" s="30" t="n">
        <x:v>0</x:v>
      </x:c>
      <x:c r="J176" s="30" t="n">
        <x:v>2</x:v>
      </x:c>
      <x:c r="K176" s="30" t="n">
        <x:v>2</x:v>
      </x:c>
      <x:c r="L176" s="30" t="n">
        <x:v>2</x:v>
      </x:c>
      <x:c r="M176" s="30" t="n">
        <x:v>2</x:v>
      </x:c>
      <x:c r="N176" s="30" t="n">
        <x:v>0</x:v>
      </x:c>
      <x:c r="O176" s="30" t="n">
        <x:v>24</x:v>
      </x:c>
      <x:c r="P176" s="30" t="n">
        <x:v>8.6</x:v>
      </x:c>
      <x:c r="Q176" s="30" t="n">
        <x:v>0</x:v>
      </x:c>
      <x:c r="R176" s="30" t="n">
        <x:v>4</x:v>
      </x:c>
      <x:c r="S176" s="30" t="n">
        <x:v>4</x:v>
      </x:c>
      <x:c r="T176" s="30" t="n">
        <x:v>4</x:v>
      </x:c>
      <x:c r="U176" s="30" t="n">
        <x:v>1</x:v>
      </x:c>
      <x:c r="V176" s="30" t="str">
        <x:v>4240</x:v>
      </x:c>
    </x:row>
    <x:row r="177">
      <x:c r="A177" s="29" t="str">
        <x:v>30040000</x:v>
      </x:c>
      <x:c r="B177" s="30" t="str">
        <x:v>BML-G1/P07VTC-12</x:v>
      </x:c>
      <x:c r="C177" s="30" t="str">
        <x:v>Available</x:v>
      </x:c>
      <x:c r="D177" s="30" t="str">
        <x:v>VERTICAL MISSILE LAUNCHER - BML-G1/P07VTC-12 (Right)</x:v>
      </x:c>
      <x:c r="E177" s="30" t="n">
        <x:v>5</x:v>
      </x:c>
      <x:c r="F177" s="30" t="n">
        <x:v>5010</x:v>
      </x:c>
      <x:c r="G177" s="30" t="n">
        <x:v>525</x:v>
      </x:c>
      <x:c r="H177" s="30" t="n">
        <x:v>1</x:v>
      </x:c>
      <x:c r="I177" s="30" t="n">
        <x:v>0</x:v>
      </x:c>
      <x:c r="J177" s="30" t="n">
        <x:v>1</x:v>
      </x:c>
      <x:c r="K177" s="30" t="n">
        <x:v>1</x:v>
      </x:c>
      <x:c r="L177" s="30" t="n">
        <x:v>1</x:v>
      </x:c>
      <x:c r="M177" s="30" t="n">
        <x:v>1</x:v>
      </x:c>
      <x:c r="N177" s="30" t="n">
        <x:v>1</x:v>
      </x:c>
      <x:c r="O177" s="30" t="n">
        <x:v>360</x:v>
      </x:c>
      <x:c r="P177" s="30" t="n">
        <x:v>7.5</x:v>
      </x:c>
      <x:c r="Q177" s="30" t="n">
        <x:v>0</x:v>
      </x:c>
      <x:c r="R177" s="30" t="n">
        <x:v>0</x:v>
      </x:c>
      <x:c r="S177" s="30" t="n">
        <x:v>0</x:v>
      </x:c>
      <x:c r="T177" s="30" t="n">
        <x:v>0</x:v>
      </x:c>
      <x:c r="U177" s="30" t="n">
        <x:v>1</x:v>
      </x:c>
      <x:c r="V177" s="30" t="str">
        <x:v>4250</x:v>
      </x:c>
    </x:row>
    <x:row r="178">
      <x:c r="A178" s="29" t="str">
        <x:v>30040100</x:v>
      </x:c>
      <x:c r="B178" s="30" t="str">
        <x:v>BML-G1/P03VTC-08</x:v>
      </x:c>
      <x:c r="C178" s="30" t="str">
        <x:v>Available</x:v>
      </x:c>
      <x:c r="D178" s="30" t="str">
        <x:v>VERTICAL MISSILE LAUNCHER - BML-G1/P03VTC-08 (Right)</x:v>
      </x:c>
      <x:c r="E178" s="30" t="n">
        <x:v>5</x:v>
      </x:c>
      <x:c r="F178" s="30" t="n">
        <x:v>3920</x:v>
      </x:c>
      <x:c r="G178" s="30" t="n">
        <x:v>380</x:v>
      </x:c>
      <x:c r="H178" s="30" t="n">
        <x:v>1</x:v>
      </x:c>
      <x:c r="I178" s="30" t="n">
        <x:v>0</x:v>
      </x:c>
      <x:c r="J178" s="30" t="n">
        <x:v>1</x:v>
      </x:c>
      <x:c r="K178" s="30" t="n">
        <x:v>1</x:v>
      </x:c>
      <x:c r="L178" s="30" t="n">
        <x:v>1</x:v>
      </x:c>
      <x:c r="M178" s="30" t="n">
        <x:v>1</x:v>
      </x:c>
      <x:c r="N178" s="30" t="n">
        <x:v>1</x:v>
      </x:c>
      <x:c r="O178" s="30" t="n">
        <x:v>224</x:v>
      </x:c>
      <x:c r="P178" s="30" t="n">
        <x:v>6</x:v>
      </x:c>
      <x:c r="Q178" s="30" t="n">
        <x:v>0</x:v>
      </x:c>
      <x:c r="R178" s="30" t="n">
        <x:v>0</x:v>
      </x:c>
      <x:c r="S178" s="30" t="n">
        <x:v>0</x:v>
      </x:c>
      <x:c r="T178" s="30" t="n">
        <x:v>0</x:v>
      </x:c>
      <x:c r="U178" s="30" t="n">
        <x:v>1</x:v>
      </x:c>
      <x:c r="V178" s="30" t="str">
        <x:v>4252</x:v>
      </x:c>
    </x:row>
    <x:row r="179">
      <x:c r="A179" s="29" t="str">
        <x:v>30040200</x:v>
      </x:c>
      <x:c r="B179" s="30" t="str">
        <x:v>BML-G1/P01VTC-04</x:v>
      </x:c>
      <x:c r="C179" s="30" t="str">
        <x:v>Available</x:v>
      </x:c>
      <x:c r="D179" s="30" t="str">
        <x:v>VERTICAL MISSILE LAUNCHER - BML-G1/P01VTC-04 (Right)</x:v>
      </x:c>
      <x:c r="E179" s="30" t="n">
        <x:v>5</x:v>
      </x:c>
      <x:c r="F179" s="30" t="n">
        <x:v>2240</x:v>
      </x:c>
      <x:c r="G179" s="30" t="n">
        <x:v>258</x:v>
      </x:c>
      <x:c r="H179" s="30" t="n">
        <x:v>1</x:v>
      </x:c>
      <x:c r="I179" s="30" t="n">
        <x:v>0</x:v>
      </x:c>
      <x:c r="J179" s="30" t="n">
        <x:v>1</x:v>
      </x:c>
      <x:c r="K179" s="30" t="n">
        <x:v>1</x:v>
      </x:c>
      <x:c r="L179" s="30" t="n">
        <x:v>1</x:v>
      </x:c>
      <x:c r="M179" s="30" t="n">
        <x:v>1</x:v>
      </x:c>
      <x:c r="N179" s="30" t="n">
        <x:v>1</x:v>
      </x:c>
      <x:c r="O179" s="30" t="n">
        <x:v>108</x:v>
      </x:c>
      <x:c r="P179" s="30" t="n">
        <x:v>4.8</x:v>
      </x:c>
      <x:c r="Q179" s="30" t="n">
        <x:v>0</x:v>
      </x:c>
      <x:c r="R179" s="30" t="n">
        <x:v>0</x:v>
      </x:c>
      <x:c r="S179" s="30" t="n">
        <x:v>0</x:v>
      </x:c>
      <x:c r="T179" s="30" t="n">
        <x:v>0</x:v>
      </x:c>
      <x:c r="U179" s="30" t="n">
        <x:v>1</x:v>
      </x:c>
      <x:c r="V179" s="30" t="str">
        <x:v>4251</x:v>
      </x:c>
    </x:row>
    <x:row r="180">
      <x:c r="A180" s="29" t="str">
        <x:v>30050000</x:v>
      </x:c>
      <x:c r="B180" s="30" t="str">
        <x:v>45-091 JVLN BETA</x:v>
      </x:c>
      <x:c r="C180" s="30" t="str">
        <x:v>Available</x:v>
      </x:c>
      <x:c r="D180" s="30" t="str">
        <x:v>DETONATING MISSILE LAUNCHER - 45-091 JVLN BETA (Right)</x:v>
      </x:c>
      <x:c r="E180" s="30" t="n">
        <x:v>5</x:v>
      </x:c>
      <x:c r="F180" s="30" t="n">
        <x:v>4250</x:v>
      </x:c>
      <x:c r="G180" s="30" t="n">
        <x:v>425</x:v>
      </x:c>
      <x:c r="H180" s="30" t="n">
        <x:v>2</x:v>
      </x:c>
      <x:c r="I180" s="30" t="n">
        <x:v>255</x:v>
      </x:c>
      <x:c r="J180" s="30" t="n">
        <x:v>2</x:v>
      </x:c>
      <x:c r="K180" s="30" t="n">
        <x:v>2</x:v>
      </x:c>
      <x:c r="L180" s="30" t="n">
        <x:v>2</x:v>
      </x:c>
      <x:c r="M180" s="30" t="n">
        <x:v>2</x:v>
      </x:c>
      <x:c r="N180" s="30" t="n">
        <x:v>0</x:v>
      </x:c>
      <x:c r="O180" s="30" t="n">
        <x:v>32</x:v>
      </x:c>
      <x:c r="P180" s="30" t="n">
        <x:v>4.1</x:v>
      </x:c>
      <x:c r="Q180" s="30" t="n">
        <x:v>0</x:v>
      </x:c>
      <x:c r="R180" s="30" t="n">
        <x:v>0</x:v>
      </x:c>
      <x:c r="S180" s="30" t="n">
        <x:v>0</x:v>
      </x:c>
      <x:c r="T180" s="30" t="n">
        <x:v>0</x:v>
      </x:c>
      <x:c r="U180" s="30" t="n">
        <x:v>1</x:v>
      </x:c>
      <x:c r="V180" s="30" t="str">
        <x:v>4260</x:v>
      </x:c>
    </x:row>
    <x:row r="181">
      <x:c r="A181" s="29" t="str">
        <x:v>30070000</x:v>
      </x:c>
      <x:c r="B181" s="30" t="str">
        <x:v>WS-5001 SOUP</x:v>
      </x:c>
      <x:c r="C181" s="30" t="str">
        <x:v>Available</x:v>
      </x:c>
      <x:c r="D181" s="30" t="str">
        <x:v>SCATTER MISSILE LAUNCHER - WS-5001 SOUP (Right)</x:v>
      </x:c>
      <x:c r="E181" s="30" t="n">
        <x:v>5</x:v>
      </x:c>
      <x:c r="F181" s="30" t="n">
        <x:v>5620</x:v>
      </x:c>
      <x:c r="G181" s="30" t="n">
        <x:v>680</x:v>
      </x:c>
      <x:c r="H181" s="30" t="n">
        <x:v>1</x:v>
      </x:c>
      <x:c r="I181" s="30" t="n">
        <x:v>0</x:v>
      </x:c>
      <x:c r="J181" s="30" t="n">
        <x:v>1</x:v>
      </x:c>
      <x:c r="K181" s="30" t="n">
        <x:v>1</x:v>
      </x:c>
      <x:c r="L181" s="30" t="n">
        <x:v>1</x:v>
      </x:c>
      <x:c r="M181" s="30" t="n">
        <x:v>1</x:v>
      </x:c>
      <x:c r="N181" s="30" t="n">
        <x:v>1</x:v>
      </x:c>
      <x:c r="O181" s="30" t="n">
        <x:v>420</x:v>
      </x:c>
      <x:c r="P181" s="30" t="n">
        <x:v>8</x:v>
      </x:c>
      <x:c r="Q181" s="30" t="n">
        <x:v>0</x:v>
      </x:c>
      <x:c r="R181" s="30" t="n">
        <x:v>1</x:v>
      </x:c>
      <x:c r="S181" s="30" t="n">
        <x:v>1</x:v>
      </x:c>
      <x:c r="T181" s="30" t="n">
        <x:v>1</x:v>
      </x:c>
      <x:c r="U181" s="30" t="n">
        <x:v>1</x:v>
      </x:c>
      <x:c r="V181" s="30" t="str">
        <x:v>4280</x:v>
      </x:c>
    </x:row>
    <x:row r="182">
      <x:c r="A182" s="29" t="str">
        <x:v>30080000</x:v>
      </x:c>
      <x:c r="B182" s="30" t="str">
        <x:v>BML-G1/P32DUO-03</x:v>
      </x:c>
      <x:c r="C182" s="30" t="str">
        <x:v>Available</x:v>
      </x:c>
      <x:c r="D182" s="30" t="str">
        <x:v>DUAL MISSILE LAUNCHER - BML-G1/P32DUO-03 (Right)</x:v>
      </x:c>
      <x:c r="E182" s="30" t="n">
        <x:v>5</x:v>
      </x:c>
      <x:c r="F182" s="30" t="n">
        <x:v>3450</x:v>
      </x:c>
      <x:c r="G182" s="30" t="n">
        <x:v>262</x:v>
      </x:c>
      <x:c r="H182" s="30" t="n">
        <x:v>2</x:v>
      </x:c>
      <x:c r="I182" s="30" t="n">
        <x:v>2</x:v>
      </x:c>
      <x:c r="J182" s="30" t="n">
        <x:v>2</x:v>
      </x:c>
      <x:c r="K182" s="30" t="n">
        <x:v>2</x:v>
      </x:c>
      <x:c r="L182" s="30" t="n">
        <x:v>2</x:v>
      </x:c>
      <x:c r="M182" s="30" t="n">
        <x:v>2</x:v>
      </x:c>
      <x:c r="N182" s="30" t="n">
        <x:v>2</x:v>
      </x:c>
      <x:c r="O182" s="30" t="n">
        <x:v>180</x:v>
      </x:c>
      <x:c r="P182" s="30" t="n">
        <x:v>3.5</x:v>
      </x:c>
      <x:c r="Q182" s="30" t="n">
        <x:v>0</x:v>
      </x:c>
      <x:c r="R182" s="30" t="n">
        <x:v>0</x:v>
      </x:c>
      <x:c r="S182" s="30" t="n">
        <x:v>0</x:v>
      </x:c>
      <x:c r="T182" s="30" t="n">
        <x:v>0</x:v>
      </x:c>
      <x:c r="U182" s="30" t="n">
        <x:v>1</x:v>
      </x:c>
      <x:c r="V182" s="30" t="str">
        <x:v>4300</x:v>
      </x:c>
    </x:row>
    <x:row r="183">
      <x:c r="A183" s="29" t="str">
        <x:v>30080100</x:v>
      </x:c>
      <x:c r="B183" s="30" t="str">
        <x:v>BML-G2/P08DUO-03</x:v>
      </x:c>
      <x:c r="C183" s="30" t="str">
        <x:v>Available</x:v>
      </x:c>
      <x:c r="D183" s="30" t="str">
        <x:v>DUAL MISSILE LAUNCHER - BML-G2/P08DUO-03 (Right)</x:v>
      </x:c>
      <x:c r="E183" s="30" t="n">
        <x:v>5</x:v>
      </x:c>
      <x:c r="F183" s="30" t="n">
        <x:v>4020</x:v>
      </x:c>
      <x:c r="G183" s="30" t="n">
        <x:v>332</x:v>
      </x:c>
      <x:c r="H183" s="30" t="n">
        <x:v>2</x:v>
      </x:c>
      <x:c r="I183" s="30" t="n">
        <x:v>2</x:v>
      </x:c>
      <x:c r="J183" s="30" t="n">
        <x:v>2</x:v>
      </x:c>
      <x:c r="K183" s="30" t="n">
        <x:v>2</x:v>
      </x:c>
      <x:c r="L183" s="30" t="n">
        <x:v>2</x:v>
      </x:c>
      <x:c r="M183" s="30" t="n">
        <x:v>2</x:v>
      </x:c>
      <x:c r="N183" s="30" t="n">
        <x:v>2</x:v>
      </x:c>
      <x:c r="O183" s="30" t="n">
        <x:v>156</x:v>
      </x:c>
      <x:c r="P183" s="30" t="n">
        <x:v>5.4</x:v>
      </x:c>
      <x:c r="Q183" s="30" t="n">
        <x:v>0</x:v>
      </x:c>
      <x:c r="R183" s="30" t="n">
        <x:v>0</x:v>
      </x:c>
      <x:c r="S183" s="30" t="n">
        <x:v>0</x:v>
      </x:c>
      <x:c r="T183" s="30" t="n">
        <x:v>0</x:v>
      </x:c>
      <x:c r="U183" s="30" t="n">
        <x:v>1</x:v>
      </x:c>
      <x:c r="V183" s="30" t="str">
        <x:v>4301</x:v>
      </x:c>
    </x:row>
    <x:row r="184">
      <x:c r="A184" s="29" t="str">
        <x:v>30080200</x:v>
      </x:c>
      <x:c r="B184" s="30" t="str">
        <x:v>BML-G1/P31DUO-02</x:v>
      </x:c>
      <x:c r="C184" s="30" t="str">
        <x:v>Available</x:v>
      </x:c>
      <x:c r="D184" s="30" t="str">
        <x:v>DUAL MISSILE LAUNCHER - BML-G1/P31DUO-02 (Right)</x:v>
      </x:c>
      <x:c r="E184" s="30" t="n">
        <x:v>5</x:v>
      </x:c>
      <x:c r="F184" s="30" t="n">
        <x:v>1900</x:v>
      </x:c>
      <x:c r="G184" s="30" t="n">
        <x:v>182</x:v>
      </x:c>
      <x:c r="H184" s="30" t="n">
        <x:v>2</x:v>
      </x:c>
      <x:c r="I184" s="30" t="n">
        <x:v>2</x:v>
      </x:c>
      <x:c r="J184" s="30" t="n">
        <x:v>2</x:v>
      </x:c>
      <x:c r="K184" s="30" t="n">
        <x:v>2</x:v>
      </x:c>
      <x:c r="L184" s="30" t="n">
        <x:v>2</x:v>
      </x:c>
      <x:c r="M184" s="30" t="n">
        <x:v>2</x:v>
      </x:c>
      <x:c r="N184" s="30" t="n">
        <x:v>2</x:v>
      </x:c>
      <x:c r="O184" s="30" t="n">
        <x:v>124</x:v>
      </x:c>
      <x:c r="P184" s="30" t="n">
        <x:v>3.1</x:v>
      </x:c>
      <x:c r="Q184" s="30" t="n">
        <x:v>0</x:v>
      </x:c>
      <x:c r="R184" s="30" t="n">
        <x:v>0</x:v>
      </x:c>
      <x:c r="S184" s="30" t="n">
        <x:v>0</x:v>
      </x:c>
      <x:c r="T184" s="30" t="n">
        <x:v>0</x:v>
      </x:c>
      <x:c r="U184" s="30" t="n">
        <x:v>1</x:v>
      </x:c>
      <x:c r="V184" s="30" t="str">
        <x:v>4303</x:v>
      </x:c>
    </x:row>
    <x:row r="185">
      <x:c r="A185" s="29" t="str">
        <x:v>30090000</x:v>
      </x:c>
      <x:c r="B185" s="30" t="str">
        <x:v>BML-G2/P19SPL-12</x:v>
      </x:c>
      <x:c r="C185" s="30" t="str">
        <x:v>Available</x:v>
      </x:c>
      <x:c r="D185" s="30" t="str">
        <x:v>SPLIT MISSILE LAUNCHER - BML-G2/P19SPL-12 (Right)</x:v>
      </x:c>
      <x:c r="E185" s="30" t="n">
        <x:v>5</x:v>
      </x:c>
      <x:c r="F185" s="30" t="n">
        <x:v>3580</x:v>
      </x:c>
      <x:c r="G185" s="30" t="n">
        <x:v>325</x:v>
      </x:c>
      <x:c r="H185" s="30" t="n">
        <x:v>1</x:v>
      </x:c>
      <x:c r="I185" s="30" t="n">
        <x:v>1</x:v>
      </x:c>
      <x:c r="J185" s="30" t="n">
        <x:v>1</x:v>
      </x:c>
      <x:c r="K185" s="30" t="n">
        <x:v>1</x:v>
      </x:c>
      <x:c r="L185" s="30" t="n">
        <x:v>1</x:v>
      </x:c>
      <x:c r="M185" s="30" t="n">
        <x:v>1</x:v>
      </x:c>
      <x:c r="N185" s="30" t="n">
        <x:v>1</x:v>
      </x:c>
      <x:c r="O185" s="30" t="n">
        <x:v>80</x:v>
      </x:c>
      <x:c r="P185" s="30" t="n">
        <x:v>6</x:v>
      </x:c>
      <x:c r="Q185" s="30" t="n">
        <x:v>0</x:v>
      </x:c>
      <x:c r="R185" s="30" t="n">
        <x:v>0</x:v>
      </x:c>
      <x:c r="S185" s="30" t="n">
        <x:v>0</x:v>
      </x:c>
      <x:c r="T185" s="30" t="n">
        <x:v>0</x:v>
      </x:c>
      <x:c r="U185" s="30" t="n">
        <x:v>1</x:v>
      </x:c>
      <x:c r="V185" s="30" t="str">
        <x:v>4310</x:v>
      </x:c>
    </x:row>
    <x:row r="186">
      <x:c r="A186" s="29" t="str">
        <x:v>30090100</x:v>
      </x:c>
      <x:c r="B186" s="30" t="str">
        <x:v>BML-G2/P16SPL-08</x:v>
      </x:c>
      <x:c r="C186" s="30" t="str">
        <x:v>Available</x:v>
      </x:c>
      <x:c r="D186" s="30" t="str">
        <x:v>SPLIT MISSILE LAUNCHER - BML-G2/P16SPL-08 (Right)</x:v>
      </x:c>
      <x:c r="E186" s="30" t="n">
        <x:v>5</x:v>
      </x:c>
      <x:c r="F186" s="30" t="n">
        <x:v>2800</x:v>
      </x:c>
      <x:c r="G186" s="30" t="n">
        <x:v>228</x:v>
      </x:c>
      <x:c r="H186" s="30" t="n">
        <x:v>1</x:v>
      </x:c>
      <x:c r="I186" s="30" t="n">
        <x:v>1</x:v>
      </x:c>
      <x:c r="J186" s="30" t="n">
        <x:v>1</x:v>
      </x:c>
      <x:c r="K186" s="30" t="n">
        <x:v>1</x:v>
      </x:c>
      <x:c r="L186" s="30" t="n">
        <x:v>1</x:v>
      </x:c>
      <x:c r="M186" s="30" t="n">
        <x:v>1</x:v>
      </x:c>
      <x:c r="N186" s="30" t="n">
        <x:v>1</x:v>
      </x:c>
      <x:c r="O186" s="30" t="n">
        <x:v>40</x:v>
      </x:c>
      <x:c r="P186" s="30" t="n">
        <x:v>4.5</x:v>
      </x:c>
      <x:c r="Q186" s="30" t="n">
        <x:v>0</x:v>
      </x:c>
      <x:c r="R186" s="30" t="n">
        <x:v>0</x:v>
      </x:c>
      <x:c r="S186" s="30" t="n">
        <x:v>0</x:v>
      </x:c>
      <x:c r="T186" s="30" t="n">
        <x:v>0</x:v>
      </x:c>
      <x:c r="U186" s="30" t="n">
        <x:v>1</x:v>
      </x:c>
      <x:c r="V186" s="30" t="str">
        <x:v>4311</x:v>
      </x:c>
    </x:row>
    <x:row r="187">
      <x:c r="A187" s="29" t="str">
        <x:v>30090200</x:v>
      </x:c>
      <x:c r="B187" s="30" t="str">
        <x:v>BML-G2/P17SPL-16</x:v>
      </x:c>
      <x:c r="C187" s="30" t="str">
        <x:v>Available</x:v>
      </x:c>
      <x:c r="D187" s="30" t="str">
        <x:v>SPLIT MISSILE LAUNCHER - BML-G2/P17SPL-16 (Right)</x:v>
      </x:c>
      <x:c r="E187" s="30" t="n">
        <x:v>5</x:v>
      </x:c>
      <x:c r="F187" s="30" t="n">
        <x:v>5010</x:v>
      </x:c>
      <x:c r="G187" s="30" t="n">
        <x:v>510</x:v>
      </x:c>
      <x:c r="H187" s="30" t="n">
        <x:v>1</x:v>
      </x:c>
      <x:c r="I187" s="30" t="n">
        <x:v>1</x:v>
      </x:c>
      <x:c r="J187" s="30" t="n">
        <x:v>1</x:v>
      </x:c>
      <x:c r="K187" s="30" t="n">
        <x:v>1</x:v>
      </x:c>
      <x:c r="L187" s="30" t="n">
        <x:v>1</x:v>
      </x:c>
      <x:c r="M187" s="30" t="n">
        <x:v>1</x:v>
      </x:c>
      <x:c r="N187" s="30" t="n">
        <x:v>1</x:v>
      </x:c>
      <x:c r="O187" s="30" t="n">
        <x:v>72</x:v>
      </x:c>
      <x:c r="P187" s="30" t="n">
        <x:v>7.7</x:v>
      </x:c>
      <x:c r="Q187" s="30" t="n">
        <x:v>0</x:v>
      </x:c>
      <x:c r="R187" s="30" t="n">
        <x:v>0</x:v>
      </x:c>
      <x:c r="S187" s="30" t="n">
        <x:v>0</x:v>
      </x:c>
      <x:c r="T187" s="30" t="n">
        <x:v>0</x:v>
      </x:c>
      <x:c r="U187" s="30" t="n">
        <x:v>1</x:v>
      </x:c>
      <x:c r="V187" s="30" t="str">
        <x:v>4302</x:v>
      </x:c>
    </x:row>
    <x:row r="188">
      <x:c r="A188" s="29" t="str">
        <x:v>30100000</x:v>
      </x:c>
      <x:c r="B188" s="30" t="str">
        <x:v>SONGBIRDS</x:v>
      </x:c>
      <x:c r="C188" s="30" t="str">
        <x:v>Available</x:v>
      </x:c>
      <x:c r="D188" s="30" t="str">
        <x:v>GRENADE CANNON - SONGBIRDS (Right)</x:v>
      </x:c>
      <x:c r="E188" s="30" t="n">
        <x:v>5</x:v>
      </x:c>
      <x:c r="F188" s="30" t="n">
        <x:v>5500</x:v>
      </x:c>
      <x:c r="G188" s="30" t="n">
        <x:v>285</x:v>
      </x:c>
      <x:c r="H188" s="30" t="n">
        <x:v>0</x:v>
      </x:c>
      <x:c r="I188" s="30" t="n">
        <x:v>0</x:v>
      </x:c>
      <x:c r="J188" s="30" t="n">
        <x:v>0</x:v>
      </x:c>
      <x:c r="K188" s="30" t="n">
        <x:v>0</x:v>
      </x:c>
      <x:c r="L188" s="30" t="n">
        <x:v>0</x:v>
      </x:c>
      <x:c r="M188" s="30" t="n">
        <x:v>0</x:v>
      </x:c>
      <x:c r="N188" s="30" t="n">
        <x:v>0</x:v>
      </x:c>
      <x:c r="O188" s="30" t="n">
        <x:v>42</x:v>
      </x:c>
      <x:c r="P188" s="30" t="n">
        <x:v>6.4</x:v>
      </x:c>
      <x:c r="Q188" s="30" t="n">
        <x:v>0</x:v>
      </x:c>
      <x:c r="R188" s="30" t="n">
        <x:v>0</x:v>
      </x:c>
      <x:c r="S188" s="30" t="n">
        <x:v>0</x:v>
      </x:c>
      <x:c r="T188" s="30" t="n">
        <x:v>0</x:v>
      </x:c>
      <x:c r="U188" s="30" t="n">
        <x:v>1</x:v>
      </x:c>
      <x:c r="V188" s="30" t="str">
        <x:v>4410</x:v>
      </x:c>
    </x:row>
    <x:row r="189">
      <x:c r="A189" s="29" t="str">
        <x:v>30110000</x:v>
      </x:c>
      <x:c r="B189" s="30" t="str">
        <x:v>EL-PW-01 TRUENO</x:v>
      </x:c>
      <x:c r="C189" s="30" t="str">
        <x:v>Available</x:v>
      </x:c>
      <x:c r="D189" s="30" t="str">
        <x:v>NEEDLE MISSILE LAUNCHER - EL-PW-01 TRUENO (Right)</x:v>
      </x:c>
      <x:c r="E189" s="30" t="n">
        <x:v>5</x:v>
      </x:c>
      <x:c r="F189" s="30" t="n">
        <x:v>3100</x:v>
      </x:c>
      <x:c r="G189" s="30" t="n">
        <x:v>420</x:v>
      </x:c>
      <x:c r="H189" s="30" t="n">
        <x:v>0</x:v>
      </x:c>
      <x:c r="I189" s="30" t="n">
        <x:v>0</x:v>
      </x:c>
      <x:c r="J189" s="30" t="n">
        <x:v>0</x:v>
      </x:c>
      <x:c r="K189" s="30" t="n">
        <x:v>0</x:v>
      </x:c>
      <x:c r="L189" s="30" t="n">
        <x:v>0</x:v>
      </x:c>
      <x:c r="M189" s="30" t="n">
        <x:v>0</x:v>
      </x:c>
      <x:c r="N189" s="30" t="n">
        <x:v>0</x:v>
      </x:c>
      <x:c r="O189" s="30" t="n">
        <x:v>62</x:v>
      </x:c>
      <x:c r="P189" s="30" t="n">
        <x:v>4.2</x:v>
      </x:c>
      <x:c r="Q189" s="30" t="n">
        <x:v>0</x:v>
      </x:c>
      <x:c r="R189" s="30" t="n">
        <x:v>0</x:v>
      </x:c>
      <x:c r="S189" s="30" t="n">
        <x:v>0</x:v>
      </x:c>
      <x:c r="T189" s="30" t="n">
        <x:v>0</x:v>
      </x:c>
      <x:c r="U189" s="30" t="n">
        <x:v>1</x:v>
      </x:c>
      <x:c r="V189" s="30" t="str">
        <x:v>4330</x:v>
      </x:c>
    </x:row>
    <x:row r="190">
      <x:c r="A190" s="29" t="str">
        <x:v>30120000</x:v>
      </x:c>
      <x:c r="B190" s="30" t="str">
        <x:v>BML-G1/P29CNT</x:v>
      </x:c>
      <x:c r="C190" s="30" t="str">
        <x:v>Available</x:v>
      </x:c>
      <x:c r="D190" s="30" t="str">
        <x:v>CONTAINER MISSILE LAUNCHER - BML-G1/P29CNT (Right)</x:v>
      </x:c>
      <x:c r="E190" s="30" t="n">
        <x:v>5</x:v>
      </x:c>
      <x:c r="F190" s="30" t="n">
        <x:v>6370</x:v>
      </x:c>
      <x:c r="G190" s="30" t="n">
        <x:v>150</x:v>
      </x:c>
      <x:c r="H190" s="30" t="n">
        <x:v>2</x:v>
      </x:c>
      <x:c r="I190" s="30" t="n">
        <x:v>255</x:v>
      </x:c>
      <x:c r="J190" s="30" t="n">
        <x:v>2</x:v>
      </x:c>
      <x:c r="K190" s="30" t="n">
        <x:v>2</x:v>
      </x:c>
      <x:c r="L190" s="30" t="n">
        <x:v>2</x:v>
      </x:c>
      <x:c r="M190" s="30" t="n">
        <x:v>2</x:v>
      </x:c>
      <x:c r="N190" s="30" t="n">
        <x:v>2</x:v>
      </x:c>
      <x:c r="O190" s="30" t="n">
        <x:v>12</x:v>
      </x:c>
      <x:c r="P190" s="30" t="n">
        <x:v>12</x:v>
      </x:c>
      <x:c r="Q190" s="30" t="n">
        <x:v>0</x:v>
      </x:c>
      <x:c r="R190" s="30" t="n">
        <x:v>0</x:v>
      </x:c>
      <x:c r="S190" s="30" t="n">
        <x:v>0</x:v>
      </x:c>
      <x:c r="T190" s="30" t="n">
        <x:v>0</x:v>
      </x:c>
      <x:c r="U190" s="30" t="n">
        <x:v>1</x:v>
      </x:c>
      <x:c r="V190" s="30" t="str">
        <x:v>4320</x:v>
      </x:c>
    </x:row>
    <x:row r="191">
      <x:c r="A191" s="29" t="str">
        <x:v>30130000</x:v>
      </x:c>
      <x:c r="B191" s="30" t="str">
        <x:v>WR-0999 DELIVERY BOY</x:v>
      </x:c>
      <x:c r="C191" s="30" t="str">
        <x:v>Available</x:v>
      </x:c>
      <x:c r="D191" s="30" t="str">
        <x:v>CLUSTER MISSILE LAUNCHER - WR-0999 DELIVERY BOY (Right)</x:v>
      </x:c>
      <x:c r="E191" s="30" t="n">
        <x:v>5</x:v>
      </x:c>
      <x:c r="F191" s="30" t="n">
        <x:v>6890</x:v>
      </x:c>
      <x:c r="G191" s="30" t="n">
        <x:v>499</x:v>
      </x:c>
      <x:c r="H191" s="30" t="n">
        <x:v>4</x:v>
      </x:c>
      <x:c r="I191" s="30" t="n">
        <x:v>255</x:v>
      </x:c>
      <x:c r="J191" s="30" t="n">
        <x:v>4</x:v>
      </x:c>
      <x:c r="K191" s="30" t="n">
        <x:v>4</x:v>
      </x:c>
      <x:c r="L191" s="30" t="n">
        <x:v>4</x:v>
      </x:c>
      <x:c r="M191" s="30" t="n">
        <x:v>4</x:v>
      </x:c>
      <x:c r="N191" s="30" t="n">
        <x:v>0</x:v>
      </x:c>
      <x:c r="O191" s="30" t="n">
        <x:v>20</x:v>
      </x:c>
      <x:c r="P191" s="30" t="n">
        <x:v>9</x:v>
      </x:c>
      <x:c r="Q191" s="30" t="n">
        <x:v>0</x:v>
      </x:c>
      <x:c r="R191" s="30" t="n">
        <x:v>0</x:v>
      </x:c>
      <x:c r="S191" s="30" t="n">
        <x:v>0</x:v>
      </x:c>
      <x:c r="T191" s="30" t="n">
        <x:v>0</x:v>
      </x:c>
      <x:c r="U191" s="30" t="n">
        <x:v>1</x:v>
      </x:c>
      <x:c r="V191" s="30" t="str">
        <x:v>4340</x:v>
      </x:c>
    </x:row>
    <x:row r="192">
      <x:c r="A192" s="29" t="str">
        <x:v>30140100</x:v>
      </x:c>
      <x:c r="B192" s="30" t="str">
        <x:v>Vvc-700LD</x:v>
      </x:c>
      <x:c r="C192" s="30" t="str">
        <x:v>Available</x:v>
      </x:c>
      <x:c r="D192" s="30" t="str">
        <x:v>LASER DRONE - Vvc-700LD (Right)</x:v>
      </x:c>
      <x:c r="E192" s="30" t="n">
        <x:v>5</x:v>
      </x:c>
      <x:c r="F192" s="30" t="n">
        <x:v>3800</x:v>
      </x:c>
      <x:c r="G192" s="30" t="n">
        <x:v>570</x:v>
      </x:c>
      <x:c r="H192" s="30" t="n">
        <x:v>3</x:v>
      </x:c>
      <x:c r="I192" s="30" t="n">
        <x:v>0</x:v>
      </x:c>
      <x:c r="J192" s="30" t="n">
        <x:v>3</x:v>
      </x:c>
      <x:c r="K192" s="30" t="n">
        <x:v>3</x:v>
      </x:c>
      <x:c r="L192" s="30" t="n">
        <x:v>3</x:v>
      </x:c>
      <x:c r="M192" s="30" t="n">
        <x:v>3</x:v>
      </x:c>
      <x:c r="N192" s="30" t="n">
        <x:v>0</x:v>
      </x:c>
      <x:c r="O192" s="30" t="n">
        <x:v>120</x:v>
      </x:c>
      <x:c r="P192" s="30" t="n">
        <x:v>10</x:v>
      </x:c>
      <x:c r="Q192" s="30" t="n">
        <x:v>0</x:v>
      </x:c>
      <x:c r="R192" s="30" t="n">
        <x:v>3</x:v>
      </x:c>
      <x:c r="S192" s="30" t="n">
        <x:v>3</x:v>
      </x:c>
      <x:c r="T192" s="30" t="n">
        <x:v>3</x:v>
      </x:c>
      <x:c r="U192" s="30" t="n">
        <x:v>1</x:v>
      </x:c>
      <x:c r="V192" s="30" t="str">
        <x:v>5810</x:v>
      </x:c>
    </x:row>
    <x:row r="193">
      <x:c r="A193" s="29" t="str">
        <x:v>30150100</x:v>
      </x:c>
      <x:c r="B193" s="30" t="str">
        <x:v>VP-60LT</x:v>
      </x:c>
      <x:c r="C193" s="30" t="str">
        <x:v>Available</x:v>
      </x:c>
      <x:c r="D193" s="30" t="str">
        <x:v>LASER TURRET - VP-60LT (Right)</x:v>
      </x:c>
      <x:c r="E193" s="30" t="n">
        <x:v>5</x:v>
      </x:c>
      <x:c r="F193" s="30" t="n">
        <x:v>2800</x:v>
      </x:c>
      <x:c r="G193" s="30" t="n">
        <x:v>560</x:v>
      </x:c>
      <x:c r="H193" s="30" t="n">
        <x:v>4</x:v>
      </x:c>
      <x:c r="I193" s="30" t="n">
        <x:v>4</x:v>
      </x:c>
      <x:c r="J193" s="30" t="n">
        <x:v>4</x:v>
      </x:c>
      <x:c r="K193" s="30" t="n">
        <x:v>4</x:v>
      </x:c>
      <x:c r="L193" s="30" t="n">
        <x:v>4</x:v>
      </x:c>
      <x:c r="M193" s="30" t="n">
        <x:v>4</x:v>
      </x:c>
      <x:c r="N193" s="30" t="n">
        <x:v>0</x:v>
      </x:c>
      <x:c r="O193" s="30" t="n">
        <x:v>52</x:v>
      </x:c>
      <x:c r="P193" s="30" t="n">
        <x:v>5</x:v>
      </x:c>
      <x:c r="Q193" s="30" t="n">
        <x:v>0</x:v>
      </x:c>
      <x:c r="R193" s="30" t="n">
        <x:v>0</x:v>
      </x:c>
      <x:c r="S193" s="30" t="n">
        <x:v>0</x:v>
      </x:c>
      <x:c r="T193" s="30" t="n">
        <x:v>0</x:v>
      </x:c>
      <x:c r="U193" s="30" t="n">
        <x:v>1</x:v>
      </x:c>
      <x:c r="V193" s="30" t="str">
        <x:v>5820</x:v>
      </x:c>
    </x:row>
    <x:row r="194">
      <x:c r="A194" s="29" t="str">
        <x:v>30200000</x:v>
      </x:c>
      <x:c r="B194" s="30" t="str">
        <x:v>SB-033M MORLEY</x:v>
      </x:c>
      <x:c r="C194" s="30" t="str">
        <x:v>Available</x:v>
      </x:c>
      <x:c r="D194" s="30" t="str">
        <x:v>SPREAD BAZOOKA - SB-033M MORLEY (Right)</x:v>
      </x:c>
      <x:c r="E194" s="30" t="n">
        <x:v>5</x:v>
      </x:c>
      <x:c r="F194" s="30" t="n">
        <x:v>6580</x:v>
      </x:c>
      <x:c r="G194" s="30" t="n">
        <x:v>465</x:v>
      </x:c>
      <x:c r="H194" s="30" t="n">
        <x:v>2</x:v>
      </x:c>
      <x:c r="I194" s="30" t="n">
        <x:v>0</x:v>
      </x:c>
      <x:c r="J194" s="30" t="n">
        <x:v>2</x:v>
      </x:c>
      <x:c r="K194" s="30" t="n">
        <x:v>2</x:v>
      </x:c>
      <x:c r="L194" s="30" t="n">
        <x:v>2</x:v>
      </x:c>
      <x:c r="M194" s="30" t="n">
        <x:v>2</x:v>
      </x:c>
      <x:c r="N194" s="30" t="n">
        <x:v>0</x:v>
      </x:c>
      <x:c r="O194" s="30" t="n">
        <x:v>25</x:v>
      </x:c>
      <x:c r="P194" s="30" t="n">
        <x:v>5</x:v>
      </x:c>
      <x:c r="Q194" s="30" t="n">
        <x:v>0</x:v>
      </x:c>
      <x:c r="R194" s="30" t="n">
        <x:v>0</x:v>
      </x:c>
      <x:c r="S194" s="30" t="n">
        <x:v>0</x:v>
      </x:c>
      <x:c r="T194" s="30" t="n">
        <x:v>0</x:v>
      </x:c>
      <x:c r="U194" s="30" t="n">
        <x:v>1</x:v>
      </x:c>
      <x:c r="V194" s="30" t="str">
        <x:v>4110</x:v>
      </x:c>
    </x:row>
    <x:row r="195">
      <x:c r="A195" s="29" t="str">
        <x:v>30210000</x:v>
      </x:c>
      <x:c r="B195" s="30" t="str">
        <x:v>EARSHOT</x:v>
      </x:c>
      <x:c r="C195" s="30" t="str">
        <x:v>Available</x:v>
      </x:c>
      <x:c r="D195" s="30" t="str">
        <x:v>GRENADE CANNON - EARSHOT (Right)</x:v>
      </x:c>
      <x:c r="E195" s="30" t="n">
        <x:v>5</x:v>
      </x:c>
      <x:c r="F195" s="30" t="n">
        <x:v>7230</x:v>
      </x:c>
      <x:c r="G195" s="30" t="n">
        <x:v>386</x:v>
      </x:c>
      <x:c r="H195" s="30" t="n">
        <x:v>0</x:v>
      </x:c>
      <x:c r="I195" s="30" t="n">
        <x:v>0</x:v>
      </x:c>
      <x:c r="J195" s="30" t="n">
        <x:v>0</x:v>
      </x:c>
      <x:c r="K195" s="30" t="n">
        <x:v>0</x:v>
      </x:c>
      <x:c r="L195" s="30" t="n">
        <x:v>0</x:v>
      </x:c>
      <x:c r="M195" s="30" t="n">
        <x:v>0</x:v>
      </x:c>
      <x:c r="N195" s="30" t="n">
        <x:v>0</x:v>
      </x:c>
      <x:c r="O195" s="30" t="n">
        <x:v>16</x:v>
      </x:c>
      <x:c r="P195" s="30" t="n">
        <x:v>9.3</x:v>
      </x:c>
      <x:c r="Q195" s="30" t="n">
        <x:v>0</x:v>
      </x:c>
      <x:c r="R195" s="30" t="n">
        <x:v>0</x:v>
      </x:c>
      <x:c r="S195" s="30" t="n">
        <x:v>0</x:v>
      </x:c>
      <x:c r="T195" s="30" t="n">
        <x:v>0</x:v>
      </x:c>
      <x:c r="U195" s="30" t="n">
        <x:v>1</x:v>
      </x:c>
      <x:c r="V195" s="30" t="str">
        <x:v>4010</x:v>
      </x:c>
    </x:row>
    <x:row r="196">
      <x:c r="A196" s="29" t="str">
        <x:v>30220000</x:v>
      </x:c>
      <x:c r="B196" s="30" t="str">
        <x:v>VE-60LCA</x:v>
      </x:c>
      <x:c r="C196" s="30" t="str">
        <x:v>Available</x:v>
      </x:c>
      <x:c r="D196" s="30" t="str">
        <x:v>LASER CANNON - VE-60LCA (Right)</x:v>
      </x:c>
      <x:c r="E196" s="30" t="n">
        <x:v>5</x:v>
      </x:c>
      <x:c r="F196" s="30" t="n">
        <x:v>14820</x:v>
      </x:c>
      <x:c r="G196" s="30" t="n">
        <x:v>1200</x:v>
      </x:c>
      <x:c r="H196" s="30" t="n">
        <x:v>0</x:v>
      </x:c>
      <x:c r="I196" s="30" t="n">
        <x:v>0</x:v>
      </x:c>
      <x:c r="J196" s="30" t="n">
        <x:v>0</x:v>
      </x:c>
      <x:c r="K196" s="30" t="n">
        <x:v>0</x:v>
      </x:c>
      <x:c r="L196" s="30" t="n">
        <x:v>0</x:v>
      </x:c>
      <x:c r="M196" s="30" t="n">
        <x:v>0</x:v>
      </x:c>
      <x:c r="N196" s="30" t="n">
        <x:v>0</x:v>
      </x:c>
      <x:c r="O196" s="30" t="n">
        <x:v>24</x:v>
      </x:c>
      <x:c r="P196" s="30" t="n">
        <x:v>0</x:v>
      </x:c>
      <x:c r="Q196" s="30" t="n">
        <x:v>0</x:v>
      </x:c>
      <x:c r="R196" s="30" t="n">
        <x:v>0</x:v>
      </x:c>
      <x:c r="S196" s="30" t="n">
        <x:v>0</x:v>
      </x:c>
      <x:c r="T196" s="30" t="n">
        <x:v>0</x:v>
      </x:c>
      <x:c r="U196" s="30" t="n">
        <x:v>1</x:v>
      </x:c>
      <x:c r="V196" s="30" t="str">
        <x:v>4710</x:v>
      </x:c>
    </x:row>
    <x:row r="197">
      <x:c r="A197" s="29" t="str">
        <x:v>30230000</x:v>
      </x:c>
      <x:c r="B197" s="30" t="str">
        <x:v>FASAN/60E</x:v>
      </x:c>
      <x:c r="C197" s="30" t="str">
        <x:v>Available</x:v>
      </x:c>
      <x:c r="D197" s="30" t="str">
        <x:v>PLASMA CANNON - FASAN/60E (Right)</x:v>
      </x:c>
      <x:c r="E197" s="30" t="n">
        <x:v>5</x:v>
      </x:c>
      <x:c r="F197" s="30" t="n">
        <x:v>6270</x:v>
      </x:c>
      <x:c r="G197" s="30" t="n">
        <x:v>882</x:v>
      </x:c>
      <x:c r="H197" s="30" t="n">
        <x:v>1</x:v>
      </x:c>
      <x:c r="I197" s="30" t="n">
        <x:v>1</x:v>
      </x:c>
      <x:c r="J197" s="30" t="n">
        <x:v>1</x:v>
      </x:c>
      <x:c r="K197" s="30" t="n">
        <x:v>1</x:v>
      </x:c>
      <x:c r="L197" s="30" t="n">
        <x:v>1</x:v>
      </x:c>
      <x:c r="M197" s="30" t="n">
        <x:v>1</x:v>
      </x:c>
      <x:c r="N197" s="30" t="n">
        <x:v>0</x:v>
      </x:c>
      <x:c r="O197" s="30" t="n">
        <x:v>39</x:v>
      </x:c>
      <x:c r="P197" s="30" t="n">
        <x:v>0</x:v>
      </x:c>
      <x:c r="Q197" s="30" t="n">
        <x:v>0</x:v>
      </x:c>
      <x:c r="R197" s="30" t="n">
        <x:v>1</x:v>
      </x:c>
      <x:c r="S197" s="30" t="n">
        <x:v>1</x:v>
      </x:c>
      <x:c r="T197" s="30" t="n">
        <x:v>1</x:v>
      </x:c>
      <x:c r="U197" s="30" t="n">
        <x:v>1</x:v>
      </x:c>
      <x:c r="V197" s="30" t="str">
        <x:v>4510</x:v>
      </x:c>
    </x:row>
    <x:row r="198">
      <x:c r="A198" s="29" t="str">
        <x:v>30240000</x:v>
      </x:c>
      <x:c r="B198" s="30" t="str">
        <x:v>KRANICH/60Z</x:v>
      </x:c>
      <x:c r="C198" s="30" t="str">
        <x:v>Available</x:v>
      </x:c>
      <x:c r="D198" s="30" t="str">
        <x:v>PULSE CANNON - KRANICH/60Z (Right)</x:v>
      </x:c>
      <x:c r="E198" s="30" t="n">
        <x:v>5</x:v>
      </x:c>
      <x:c r="F198" s="30" t="n">
        <x:v>2100</x:v>
      </x:c>
      <x:c r="G198" s="30" t="n">
        <x:v>652</x:v>
      </x:c>
      <x:c r="H198" s="30" t="n">
        <x:v>0</x:v>
      </x:c>
      <x:c r="I198" s="30" t="n">
        <x:v>0</x:v>
      </x:c>
      <x:c r="J198" s="30" t="n">
        <x:v>0</x:v>
      </x:c>
      <x:c r="K198" s="30" t="n">
        <x:v>0</x:v>
      </x:c>
      <x:c r="L198" s="30" t="n">
        <x:v>0</x:v>
      </x:c>
      <x:c r="M198" s="30" t="n">
        <x:v>0</x:v>
      </x:c>
      <x:c r="N198" s="30" t="n">
        <x:v>0</x:v>
      </x:c>
      <x:c r="O198" s="30" t="n">
        <x:v>560</x:v>
      </x:c>
      <x:c r="P198" s="30" t="n">
        <x:v>0</x:v>
      </x:c>
      <x:c r="Q198" s="30" t="n">
        <x:v>0</x:v>
      </x:c>
      <x:c r="R198" s="30" t="n">
        <x:v>0</x:v>
      </x:c>
      <x:c r="S198" s="30" t="n">
        <x:v>0</x:v>
      </x:c>
      <x:c r="T198" s="30" t="n">
        <x:v>0</x:v>
      </x:c>
      <x:c r="U198" s="30" t="n">
        <x:v>1</x:v>
      </x:c>
      <x:c r="V198" s="30" t="str">
        <x:v>4810</x:v>
      </x:c>
    </x:row>
    <x:row r="199">
      <x:c r="A199" s="29" t="str">
        <x:v>30250000</x:v>
      </x:c>
      <x:c r="B199" s="30" t="str">
        <x:v>VP-60LCS</x:v>
      </x:c>
      <x:c r="C199" s="30" t="str">
        <x:v>Available</x:v>
      </x:c>
      <x:c r="D199" s="30" t="str">
        <x:v>LASER CANNON - VP-60LCS (Right)</x:v>
      </x:c>
      <x:c r="E199" s="30" t="n">
        <x:v>5</x:v>
      </x:c>
      <x:c r="F199" s="30" t="n">
        <x:v>5190</x:v>
      </x:c>
      <x:c r="G199" s="30" t="n">
        <x:v>683</x:v>
      </x:c>
      <x:c r="H199" s="30" t="n">
        <x:v>0</x:v>
      </x:c>
      <x:c r="I199" s="30" t="n">
        <x:v>0</x:v>
      </x:c>
      <x:c r="J199" s="30" t="n">
        <x:v>0</x:v>
      </x:c>
      <x:c r="K199" s="30" t="n">
        <x:v>0</x:v>
      </x:c>
      <x:c r="L199" s="30" t="n">
        <x:v>0</x:v>
      </x:c>
      <x:c r="M199" s="30" t="n">
        <x:v>0</x:v>
      </x:c>
      <x:c r="N199" s="30" t="n">
        <x:v>0</x:v>
      </x:c>
      <x:c r="O199" s="30" t="n">
        <x:v>57</x:v>
      </x:c>
      <x:c r="P199" s="30" t="n">
        <x:v>0</x:v>
      </x:c>
      <x:c r="Q199" s="30" t="n">
        <x:v>0</x:v>
      </x:c>
      <x:c r="R199" s="30" t="n">
        <x:v>0</x:v>
      </x:c>
      <x:c r="S199" s="30" t="n">
        <x:v>0</x:v>
      </x:c>
      <x:c r="T199" s="30" t="n">
        <x:v>0</x:v>
      </x:c>
      <x:c r="U199" s="30" t="n">
        <x:v>1</x:v>
      </x:c>
      <x:c r="V199" s="30" t="str">
        <x:v>4610</x:v>
      </x:c>
    </x:row>
    <x:row r="200">
      <x:c r="A200" s="29" t="str">
        <x:v>30250100</x:v>
      </x:c>
      <x:c r="B200" s="30" t="str">
        <x:v>VE-60LCB</x:v>
      </x:c>
      <x:c r="C200" s="30" t="str">
        <x:v>Available</x:v>
      </x:c>
      <x:c r="D200" s="30" t="str">
        <x:v>LASER CANNON - VE-60LCB (Right)</x:v>
      </x:c>
      <x:c r="E200" s="30" t="n">
        <x:v>5</x:v>
      </x:c>
      <x:c r="F200" s="30" t="n">
        <x:v>9270</x:v>
      </x:c>
      <x:c r="G200" s="30" t="n">
        <x:v>803</x:v>
      </x:c>
      <x:c r="H200" s="30" t="n">
        <x:v>0</x:v>
      </x:c>
      <x:c r="I200" s="30" t="n">
        <x:v>0</x:v>
      </x:c>
      <x:c r="J200" s="30" t="n">
        <x:v>0</x:v>
      </x:c>
      <x:c r="K200" s="30" t="n">
        <x:v>0</x:v>
      </x:c>
      <x:c r="L200" s="30" t="n">
        <x:v>0</x:v>
      </x:c>
      <x:c r="M200" s="30" t="n">
        <x:v>0</x:v>
      </x:c>
      <x:c r="N200" s="30" t="n">
        <x:v>0</x:v>
      </x:c>
      <x:c r="O200" s="30" t="n">
        <x:v>32</x:v>
      </x:c>
      <x:c r="P200" s="30" t="n">
        <x:v>0</x:v>
      </x:c>
      <x:c r="Q200" s="30" t="n">
        <x:v>0</x:v>
      </x:c>
      <x:c r="R200" s="30" t="n">
        <x:v>0</x:v>
      </x:c>
      <x:c r="S200" s="30" t="n">
        <x:v>0</x:v>
      </x:c>
      <x:c r="T200" s="30" t="n">
        <x:v>0</x:v>
      </x:c>
      <x:c r="U200" s="30" t="n">
        <x:v>1</x:v>
      </x:c>
      <x:c r="V200" s="30" t="str">
        <x:v>4620</x:v>
      </x:c>
    </x:row>
    <x:row r="201">
      <x:c r="A201" s="29" t="str">
        <x:v>30260000</x:v>
      </x:c>
      <x:c r="B201" s="30" t="str">
        <x:v>VP-60LCD</x:v>
      </x:c>
      <x:c r="C201" s="30" t="str">
        <x:v>Available</x:v>
      </x:c>
      <x:c r="D201" s="30" t="str">
        <x:v>DIFFUSE LASER CANNON - VP-60LCD (Right)</x:v>
      </x:c>
      <x:c r="E201" s="30" t="n">
        <x:v>5</x:v>
      </x:c>
      <x:c r="F201" s="30" t="n">
        <x:v>7620</x:v>
      </x:c>
      <x:c r="G201" s="30" t="n">
        <x:v>784</x:v>
      </x:c>
      <x:c r="H201" s="30" t="n">
        <x:v>0</x:v>
      </x:c>
      <x:c r="I201" s="30" t="n">
        <x:v>0</x:v>
      </x:c>
      <x:c r="J201" s="30" t="n">
        <x:v>0</x:v>
      </x:c>
      <x:c r="K201" s="30" t="n">
        <x:v>0</x:v>
      </x:c>
      <x:c r="L201" s="30" t="n">
        <x:v>0</x:v>
      </x:c>
      <x:c r="M201" s="30" t="n">
        <x:v>0</x:v>
      </x:c>
      <x:c r="N201" s="30" t="n">
        <x:v>0</x:v>
      </x:c>
      <x:c r="O201" s="30" t="n">
        <x:v>54</x:v>
      </x:c>
      <x:c r="P201" s="30" t="n">
        <x:v>0</x:v>
      </x:c>
      <x:c r="Q201" s="30" t="n">
        <x:v>0</x:v>
      </x:c>
      <x:c r="R201" s="30" t="n">
        <x:v>0</x:v>
      </x:c>
      <x:c r="S201" s="30" t="n">
        <x:v>0</x:v>
      </x:c>
      <x:c r="T201" s="30" t="n">
        <x:v>0</x:v>
      </x:c>
      <x:c r="U201" s="30" t="n">
        <x:v>1</x:v>
      </x:c>
      <x:c r="V201" s="30" t="str">
        <x:v>5010</x:v>
      </x:c>
    </x:row>
    <x:row r="202">
      <x:c r="A202" s="29" t="str">
        <x:v>30270000</x:v>
      </x:c>
      <x:c r="B202" s="30" t="str">
        <x:v>VE-60SNA</x:v>
      </x:c>
      <x:c r="C202" s="30" t="str">
        <x:v>Available</x:v>
      </x:c>
      <x:c r="D202" s="30" t="str">
        <x:v>STUN NEEDLE LAUNCHER - VE-60SNA (Right)</x:v>
      </x:c>
      <x:c r="E202" s="30" t="n">
        <x:v>5</x:v>
      </x:c>
      <x:c r="F202" s="30" t="n">
        <x:v>6150</x:v>
      </x:c>
      <x:c r="G202" s="30" t="n">
        <x:v>825</x:v>
      </x:c>
      <x:c r="H202" s="30" t="n">
        <x:v>0</x:v>
      </x:c>
      <x:c r="I202" s="30" t="n">
        <x:v>0</x:v>
      </x:c>
      <x:c r="J202" s="30" t="n">
        <x:v>0</x:v>
      </x:c>
      <x:c r="K202" s="30" t="n">
        <x:v>0</x:v>
      </x:c>
      <x:c r="L202" s="30" t="n">
        <x:v>0</x:v>
      </x:c>
      <x:c r="M202" s="30" t="n">
        <x:v>0</x:v>
      </x:c>
      <x:c r="N202" s="30" t="n">
        <x:v>0</x:v>
      </x:c>
      <x:c r="O202" s="30" t="n">
        <x:v>30</x:v>
      </x:c>
      <x:c r="P202" s="30" t="n">
        <x:v>5</x:v>
      </x:c>
      <x:c r="Q202" s="30" t="n">
        <x:v>0</x:v>
      </x:c>
      <x:c r="R202" s="30" t="n">
        <x:v>0</x:v>
      </x:c>
      <x:c r="S202" s="30" t="n">
        <x:v>0</x:v>
      </x:c>
      <x:c r="T202" s="30" t="n">
        <x:v>0</x:v>
      </x:c>
      <x:c r="U202" s="30" t="n">
        <x:v>1</x:v>
      </x:c>
      <x:c r="V202" s="30" t="str">
        <x:v>4830</x:v>
      </x:c>
    </x:row>
    <x:row r="203">
      <x:c r="A203" s="29" t="str">
        <x:v>30300000</x:v>
      </x:c>
      <x:c r="B203" s="30" t="str">
        <x:v>BO-044 HUXLEY</x:v>
      </x:c>
      <x:c r="C203" s="30" t="str">
        <x:v>Available</x:v>
      </x:c>
      <x:c r="D203" s="30" t="str">
        <x:v>BULLET ORBIT - BO-044 HUXLEY (Right)</x:v>
      </x:c>
      <x:c r="E203" s="30" t="n">
        <x:v>5</x:v>
      </x:c>
      <x:c r="F203" s="30" t="n">
        <x:v>2230</x:v>
      </x:c>
      <x:c r="G203" s="30" t="n">
        <x:v>435</x:v>
      </x:c>
      <x:c r="H203" s="30" t="n">
        <x:v>0</x:v>
      </x:c>
      <x:c r="I203" s="30" t="n">
        <x:v>0</x:v>
      </x:c>
      <x:c r="J203" s="30" t="n">
        <x:v>0</x:v>
      </x:c>
      <x:c r="K203" s="30" t="n">
        <x:v>0</x:v>
      </x:c>
      <x:c r="L203" s="30" t="n">
        <x:v>0</x:v>
      </x:c>
      <x:c r="M203" s="30" t="n">
        <x:v>0</x:v>
      </x:c>
      <x:c r="N203" s="30" t="n">
        <x:v>0</x:v>
      </x:c>
      <x:c r="O203" s="30" t="n">
        <x:v>240</x:v>
      </x:c>
      <x:c r="P203" s="30" t="n">
        <x:v>5</x:v>
      </x:c>
      <x:c r="Q203" s="30" t="n">
        <x:v>0</x:v>
      </x:c>
      <x:c r="R203" s="30" t="n">
        <x:v>0</x:v>
      </x:c>
      <x:c r="S203" s="30" t="n">
        <x:v>0</x:v>
      </x:c>
      <x:c r="T203" s="30" t="n">
        <x:v>0</x:v>
      </x:c>
      <x:c r="U203" s="30" t="n">
        <x:v>1</x:v>
      </x:c>
      <x:c r="V203" s="30" t="str">
        <x:v>5710</x:v>
      </x:c>
    </x:row>
    <x:row r="204">
      <x:c r="A204" s="29" t="str">
        <x:v>30300100</x:v>
      </x:c>
      <x:c r="B204" s="30" t="str">
        <x:v>45-091 ORBT</x:v>
      </x:c>
      <x:c r="C204" s="30" t="str">
        <x:v>Available</x:v>
      </x:c>
      <x:c r="D204" s="30" t="str">
        <x:v>LASER ORBIT - 45-091 ORBT (Right)</x:v>
      </x:c>
      <x:c r="E204" s="30" t="n">
        <x:v>5</x:v>
      </x:c>
      <x:c r="F204" s="30" t="n">
        <x:v>2010</x:v>
      </x:c>
      <x:c r="G204" s="30" t="n">
        <x:v>446</x:v>
      </x:c>
      <x:c r="H204" s="30" t="n">
        <x:v>0</x:v>
      </x:c>
      <x:c r="I204" s="30" t="n">
        <x:v>0</x:v>
      </x:c>
      <x:c r="J204" s="30" t="n">
        <x:v>0</x:v>
      </x:c>
      <x:c r="K204" s="30" t="n">
        <x:v>0</x:v>
      </x:c>
      <x:c r="L204" s="30" t="n">
        <x:v>0</x:v>
      </x:c>
      <x:c r="M204" s="30" t="n">
        <x:v>0</x:v>
      </x:c>
      <x:c r="N204" s="30" t="n">
        <x:v>0</x:v>
      </x:c>
      <x:c r="O204" s="30" t="n">
        <x:v>165</x:v>
      </x:c>
      <x:c r="P204" s="30" t="n">
        <x:v>5</x:v>
      </x:c>
      <x:c r="Q204" s="30" t="n">
        <x:v>0</x:v>
      </x:c>
      <x:c r="R204" s="30" t="n">
        <x:v>0</x:v>
      </x:c>
      <x:c r="S204" s="30" t="n">
        <x:v>0</x:v>
      </x:c>
      <x:c r="T204" s="30" t="n">
        <x:v>0</x:v>
      </x:c>
      <x:c r="U204" s="30" t="n">
        <x:v>1</x:v>
      </x:c>
      <x:c r="V204" s="30" t="str">
        <x:v>5720</x:v>
      </x:c>
    </x:row>
    <x:row r="205">
      <x:c r="A205" s="29" t="str">
        <x:v>30310000</x:v>
      </x:c>
      <x:c r="B205" s="30" t="str">
        <x:v>EULE/60D</x:v>
      </x:c>
      <x:c r="C205" s="30" t="str">
        <x:v>Available</x:v>
      </x:c>
      <x:c r="D205" s="30" t="str">
        <x:v>PULSE SHIELD LAUNCHER - EULE/60D (Right)</x:v>
      </x:c>
      <x:c r="E205" s="30" t="n">
        <x:v>5</x:v>
      </x:c>
      <x:c r="F205" s="30" t="n">
        <x:v>2760</x:v>
      </x:c>
      <x:c r="G205" s="30" t="n">
        <x:v>382</x:v>
      </x:c>
      <x:c r="H205" s="30" t="n">
        <x:v>3</x:v>
      </x:c>
      <x:c r="I205" s="30" t="n">
        <x:v>0</x:v>
      </x:c>
      <x:c r="J205" s="30" t="n">
        <x:v>3</x:v>
      </x:c>
      <x:c r="K205" s="30" t="n">
        <x:v>3</x:v>
      </x:c>
      <x:c r="L205" s="30" t="n">
        <x:v>3</x:v>
      </x:c>
      <x:c r="M205" s="30" t="n">
        <x:v>0</x:v>
      </x:c>
      <x:c r="N205" s="30" t="n">
        <x:v>0</x:v>
      </x:c>
      <x:c r="O205" s="30" t="n">
        <x:v>45</x:v>
      </x:c>
      <x:c r="P205" s="30" t="n">
        <x:v>6</x:v>
      </x:c>
      <x:c r="Q205" s="30" t="n">
        <x:v>0</x:v>
      </x:c>
      <x:c r="R205" s="30" t="n">
        <x:v>0</x:v>
      </x:c>
      <x:c r="S205" s="30" t="n">
        <x:v>0</x:v>
      </x:c>
      <x:c r="T205" s="30" t="n">
        <x:v>0</x:v>
      </x:c>
      <x:c r="U205" s="30" t="n">
        <x:v>1</x:v>
      </x:c>
      <x:c r="V205" s="30" t="str">
        <x:v>4820</x:v>
      </x:c>
    </x:row>
    <x:row r="206">
      <x:c r="A206" s="29" t="str">
        <x:v>30350100</x:v>
      </x:c>
      <x:c r="B206" s="30" t="str">
        <x:v>IA-C01W3: AURORA</x:v>
      </x:c>
      <x:c r="C206" s="30" t="str">
        <x:v>Available</x:v>
      </x:c>
      <x:c r="D206" s="30" t="str">
        <x:v>LIGHT WAVE CANNON - IA-C01W3: AURORA (Right)</x:v>
      </x:c>
      <x:c r="E206" s="30" t="n">
        <x:v>5</x:v>
      </x:c>
      <x:c r="F206" s="30" t="n">
        <x:v>3330</x:v>
      </x:c>
      <x:c r="G206" s="30" t="n">
        <x:v>390</x:v>
      </x:c>
      <x:c r="H206" s="30" t="n">
        <x:v>0</x:v>
      </x:c>
      <x:c r="I206" s="30" t="n">
        <x:v>0</x:v>
      </x:c>
      <x:c r="J206" s="30" t="n">
        <x:v>0</x:v>
      </x:c>
      <x:c r="K206" s="30" t="n">
        <x:v>0</x:v>
      </x:c>
      <x:c r="L206" s="30" t="n">
        <x:v>0</x:v>
      </x:c>
      <x:c r="M206" s="30" t="n">
        <x:v>0</x:v>
      </x:c>
      <x:c r="N206" s="30" t="n">
        <x:v>0</x:v>
      </x:c>
      <x:c r="O206" s="30" t="n">
        <x:v>100</x:v>
      </x:c>
      <x:c r="P206" s="30" t="n">
        <x:v>5.5</x:v>
      </x:c>
      <x:c r="Q206" s="30" t="n">
        <x:v>0</x:v>
      </x:c>
      <x:c r="R206" s="30" t="n">
        <x:v>0</x:v>
      </x:c>
      <x:c r="S206" s="30" t="n">
        <x:v>0</x:v>
      </x:c>
      <x:c r="T206" s="30" t="n">
        <x:v>0</x:v>
      </x:c>
      <x:c r="U206" s="30" t="n">
        <x:v>1</x:v>
      </x:c>
      <x:c r="V206" s="30" t="str">
        <x:v>4350</x:v>
      </x:c>
    </x:row>
    <x:row r="207">
      <x:c r="A207" s="29" t="str">
        <x:v>30400000</x:v>
      </x:c>
      <x:c r="B207" s="30" t="str">
        <x:v>DF-GA-09 SHAO-WEI</x:v>
      </x:c>
      <x:c r="C207" s="30" t="str">
        <x:v>Available</x:v>
      </x:c>
      <x:c r="D207" s="30" t="str">
        <x:v>GATLING CANNON - DF-GA-09 SHAO-WEI (Right)</x:v>
      </x:c>
      <x:c r="E207" s="30" t="n">
        <x:v>5</x:v>
      </x:c>
      <x:c r="F207" s="30" t="n">
        <x:v>3960</x:v>
      </x:c>
      <x:c r="G207" s="30" t="n">
        <x:v>404</x:v>
      </x:c>
      <x:c r="H207" s="30" t="n">
        <x:v>0</x:v>
      </x:c>
      <x:c r="I207" s="30" t="n">
        <x:v>0</x:v>
      </x:c>
      <x:c r="J207" s="30" t="n">
        <x:v>0</x:v>
      </x:c>
      <x:c r="K207" s="30" t="n">
        <x:v>0</x:v>
      </x:c>
      <x:c r="L207" s="30" t="n">
        <x:v>0</x:v>
      </x:c>
      <x:c r="M207" s="30" t="n">
        <x:v>0</x:v>
      </x:c>
      <x:c r="N207" s="30" t="n">
        <x:v>0</x:v>
      </x:c>
      <x:c r="O207" s="30" t="n">
        <x:v>800</x:v>
      </x:c>
      <x:c r="P207" s="30" t="n">
        <x:v>0</x:v>
      </x:c>
      <x:c r="Q207" s="30" t="n">
        <x:v>0</x:v>
      </x:c>
      <x:c r="R207" s="30" t="n">
        <x:v>0</x:v>
      </x:c>
      <x:c r="S207" s="30" t="n">
        <x:v>0</x:v>
      </x:c>
      <x:c r="T207" s="30" t="n">
        <x:v>0</x:v>
      </x:c>
      <x:c r="U207" s="30" t="n">
        <x:v>1</x:v>
      </x:c>
      <x:c r="V207" s="30" t="str">
        <x:v>5110</x:v>
      </x:c>
    </x:row>
    <x:row r="208">
      <x:c r="A208" s="29" t="str">
        <x:v>35000000</x:v>
      </x:c>
      <x:c r="B208" s="30" t="str">
        <x:v>Vvc-703PM</x:v>
      </x:c>
      <x:c r="C208" s="30" t="str">
        <x:v>Available</x:v>
      </x:c>
      <x:c r="D208" s="30" t="str">
        <x:v>PLASMA MISSILE LAUNCHER - Vvc-703PM (Left)</x:v>
      </x:c>
      <x:c r="E208" s="30" t="n">
        <x:v>4</x:v>
      </x:c>
      <x:c r="F208" s="30" t="n">
        <x:v>2310</x:v>
      </x:c>
      <x:c r="G208" s="30" t="n">
        <x:v>210</x:v>
      </x:c>
      <x:c r="H208" s="30" t="n">
        <x:v>1</x:v>
      </x:c>
      <x:c r="I208" s="30" t="n">
        <x:v>1</x:v>
      </x:c>
      <x:c r="J208" s="30" t="n">
        <x:v>1</x:v>
      </x:c>
      <x:c r="K208" s="30" t="n">
        <x:v>1</x:v>
      </x:c>
      <x:c r="L208" s="30" t="n">
        <x:v>1</x:v>
      </x:c>
      <x:c r="M208" s="30" t="n">
        <x:v>1</x:v>
      </x:c>
      <x:c r="N208" s="30" t="n">
        <x:v>0</x:v>
      </x:c>
      <x:c r="O208" s="30" t="n">
        <x:v>120</x:v>
      </x:c>
      <x:c r="P208" s="30" t="n">
        <x:v>4.2</x:v>
      </x:c>
      <x:c r="Q208" s="30" t="n">
        <x:v>0</x:v>
      </x:c>
      <x:c r="R208" s="30" t="n">
        <x:v>0</x:v>
      </x:c>
      <x:c r="S208" s="30" t="n">
        <x:v>0</x:v>
      </x:c>
      <x:c r="T208" s="30" t="n">
        <x:v>0</x:v>
      </x:c>
      <x:c r="U208" s="30" t="n">
        <x:v>1</x:v>
      </x:c>
      <x:c r="V208" s="30" t="str">
        <x:v>4210</x:v>
      </x:c>
    </x:row>
    <x:row r="209">
      <x:c r="A209" s="29" t="str">
        <x:v>35000100</x:v>
      </x:c>
      <x:c r="B209" s="30" t="str">
        <x:v>Vvc-70VPM</x:v>
      </x:c>
      <x:c r="C209" s="30" t="str">
        <x:v>Available</x:v>
      </x:c>
      <x:c r="D209" s="30" t="str">
        <x:v>PLASMA MISSILE LAUNCHER - Vvc-70VPM (Left)</x:v>
      </x:c>
      <x:c r="E209" s="30" t="n">
        <x:v>4</x:v>
      </x:c>
      <x:c r="F209" s="30" t="n">
        <x:v>3760</x:v>
      </x:c>
      <x:c r="G209" s="30" t="n">
        <x:v>268</x:v>
      </x:c>
      <x:c r="H209" s="30" t="n">
        <x:v>2</x:v>
      </x:c>
      <x:c r="I209" s="30" t="n">
        <x:v>2</x:v>
      </x:c>
      <x:c r="J209" s="30" t="n">
        <x:v>2</x:v>
      </x:c>
      <x:c r="K209" s="30" t="n">
        <x:v>2</x:v>
      </x:c>
      <x:c r="L209" s="30" t="n">
        <x:v>2</x:v>
      </x:c>
      <x:c r="M209" s="30" t="n">
        <x:v>2</x:v>
      </x:c>
      <x:c r="N209" s="30" t="n">
        <x:v>1</x:v>
      </x:c>
      <x:c r="O209" s="30" t="n">
        <x:v>240</x:v>
      </x:c>
      <x:c r="P209" s="30" t="n">
        <x:v>6.2</x:v>
      </x:c>
      <x:c r="Q209" s="30" t="n">
        <x:v>0</x:v>
      </x:c>
      <x:c r="R209" s="30" t="n">
        <x:v>0</x:v>
      </x:c>
      <x:c r="S209" s="30" t="n">
        <x:v>0</x:v>
      </x:c>
      <x:c r="T209" s="30" t="n">
        <x:v>0</x:v>
      </x:c>
      <x:c r="U209" s="30" t="n">
        <x:v>1</x:v>
      </x:c>
      <x:c r="V209" s="30" t="str">
        <x:v>4220</x:v>
      </x:c>
    </x:row>
    <x:row r="210">
      <x:c r="A210" s="29" t="str">
        <x:v>35000200</x:v>
      </x:c>
      <x:c r="B210" s="30" t="str">
        <x:v>Vvc-706PM</x:v>
      </x:c>
      <x:c r="C210" s="30" t="str">
        <x:v>Available</x:v>
      </x:c>
      <x:c r="D210" s="30" t="str">
        <x:v>PLASMA MISSILE LAUNCHER - Vvc-706PM (Left)</x:v>
      </x:c>
      <x:c r="E210" s="30" t="n">
        <x:v>4</x:v>
      </x:c>
      <x:c r="F210" s="30" t="n">
        <x:v>3650</x:v>
      </x:c>
      <x:c r="G210" s="30" t="n">
        <x:v>276</x:v>
      </x:c>
      <x:c r="H210" s="30" t="n">
        <x:v>1</x:v>
      </x:c>
      <x:c r="I210" s="30" t="n">
        <x:v>1</x:v>
      </x:c>
      <x:c r="J210" s="30" t="n">
        <x:v>1</x:v>
      </x:c>
      <x:c r="K210" s="30" t="n">
        <x:v>1</x:v>
      </x:c>
      <x:c r="L210" s="30" t="n">
        <x:v>1</x:v>
      </x:c>
      <x:c r="M210" s="30" t="n">
        <x:v>1</x:v>
      </x:c>
      <x:c r="N210" s="30" t="n">
        <x:v>0</x:v>
      </x:c>
      <x:c r="O210" s="30" t="n">
        <x:v>210</x:v>
      </x:c>
      <x:c r="P210" s="30" t="n">
        <x:v>6</x:v>
      </x:c>
      <x:c r="Q210" s="30" t="n">
        <x:v>0</x:v>
      </x:c>
      <x:c r="R210" s="30" t="n">
        <x:v>0</x:v>
      </x:c>
      <x:c r="S210" s="30" t="n">
        <x:v>0</x:v>
      </x:c>
      <x:c r="T210" s="30" t="n">
        <x:v>0</x:v>
      </x:c>
      <x:c r="U210" s="30" t="n">
        <x:v>1</x:v>
      </x:c>
      <x:c r="V210" s="30" t="str">
        <x:v>4211</x:v>
      </x:c>
    </x:row>
    <x:row r="211">
      <x:c r="A211" s="29" t="str">
        <x:v>35010000</x:v>
      </x:c>
      <x:c r="B211" s="30" t="str">
        <x:v>BML-G3/P05ACT-02</x:v>
      </x:c>
      <x:c r="C211" s="30" t="str">
        <x:v>Available</x:v>
      </x:c>
      <x:c r="D211" s="30" t="str">
        <x:v>ACTIVE HOMING MISSILE LAUNCHER - BML-G3/P05ACT-02 (Left)</x:v>
      </x:c>
      <x:c r="E211" s="30" t="n">
        <x:v>4</x:v>
      </x:c>
      <x:c r="F211" s="30" t="n">
        <x:v>4320</x:v>
      </x:c>
      <x:c r="G211" s="30" t="n">
        <x:v>424</x:v>
      </x:c>
      <x:c r="H211" s="30" t="n">
        <x:v>1</x:v>
      </x:c>
      <x:c r="I211" s="30" t="n">
        <x:v>0</x:v>
      </x:c>
      <x:c r="J211" s="30" t="n">
        <x:v>1</x:v>
      </x:c>
      <x:c r="K211" s="30" t="n">
        <x:v>1</x:v>
      </x:c>
      <x:c r="L211" s="30" t="n">
        <x:v>1</x:v>
      </x:c>
      <x:c r="M211" s="30" t="n">
        <x:v>1</x:v>
      </x:c>
      <x:c r="N211" s="30" t="n">
        <x:v>0</x:v>
      </x:c>
      <x:c r="O211" s="30" t="n">
        <x:v>72</x:v>
      </x:c>
      <x:c r="P211" s="30" t="n">
        <x:v>4.2</x:v>
      </x:c>
      <x:c r="Q211" s="30" t="n">
        <x:v>0</x:v>
      </x:c>
      <x:c r="R211" s="30" t="n">
        <x:v>0</x:v>
      </x:c>
      <x:c r="S211" s="30" t="n">
        <x:v>0</x:v>
      </x:c>
      <x:c r="T211" s="30" t="n">
        <x:v>0</x:v>
      </x:c>
      <x:c r="U211" s="30" t="n">
        <x:v>1</x:v>
      </x:c>
      <x:c r="V211" s="30" t="str">
        <x:v>4230</x:v>
      </x:c>
    </x:row>
    <x:row r="212">
      <x:c r="A212" s="29" t="str">
        <x:v>35010100</x:v>
      </x:c>
      <x:c r="B212" s="30" t="str">
        <x:v>BML-G3/P04ACT-01</x:v>
      </x:c>
      <x:c r="C212" s="30" t="str">
        <x:v>Available</x:v>
      </x:c>
      <x:c r="D212" s="30" t="str">
        <x:v>ACTIVE HOMING MISSILE LAUNCHER - BML-G3/P04ACT-01 (Left)</x:v>
      </x:c>
      <x:c r="E212" s="30" t="n">
        <x:v>4</x:v>
      </x:c>
      <x:c r="F212" s="30" t="n">
        <x:v>2270</x:v>
      </x:c>
      <x:c r="G212" s="30" t="n">
        <x:v>213</x:v>
      </x:c>
      <x:c r="H212" s="30" t="n">
        <x:v>1</x:v>
      </x:c>
      <x:c r="I212" s="30" t="n">
        <x:v>0</x:v>
      </x:c>
      <x:c r="J212" s="30" t="n">
        <x:v>1</x:v>
      </x:c>
      <x:c r="K212" s="30" t="n">
        <x:v>1</x:v>
      </x:c>
      <x:c r="L212" s="30" t="n">
        <x:v>1</x:v>
      </x:c>
      <x:c r="M212" s="30" t="n">
        <x:v>1</x:v>
      </x:c>
      <x:c r="N212" s="30" t="n">
        <x:v>0</x:v>
      </x:c>
      <x:c r="O212" s="30" t="n">
        <x:v>45</x:v>
      </x:c>
      <x:c r="P212" s="30" t="n">
        <x:v>2.4</x:v>
      </x:c>
      <x:c r="Q212" s="30" t="n">
        <x:v>0</x:v>
      </x:c>
      <x:c r="R212" s="30" t="n">
        <x:v>0</x:v>
      </x:c>
      <x:c r="S212" s="30" t="n">
        <x:v>0</x:v>
      </x:c>
      <x:c r="T212" s="30" t="n">
        <x:v>0</x:v>
      </x:c>
      <x:c r="U212" s="30" t="n">
        <x:v>1</x:v>
      </x:c>
      <x:c r="V212" s="30" t="str">
        <x:v>4231</x:v>
      </x:c>
    </x:row>
    <x:row r="213">
      <x:c r="A213" s="29" t="str">
        <x:v>35020000</x:v>
      </x:c>
      <x:c r="B213" s="30" t="str">
        <x:v>BML-G2/P03MLT-06</x:v>
      </x:c>
      <x:c r="C213" s="30" t="str">
        <x:v>Available</x:v>
      </x:c>
      <x:c r="D213" s="30" t="str">
        <x:v>MISSILE LAUNCHER - BML-G2/P03MLT-06 (Left)</x:v>
      </x:c>
      <x:c r="E213" s="30" t="n">
        <x:v>4</x:v>
      </x:c>
      <x:c r="F213" s="30" t="n">
        <x:v>3610</x:v>
      </x:c>
      <x:c r="G213" s="30" t="n">
        <x:v>241</x:v>
      </x:c>
      <x:c r="H213" s="30" t="n">
        <x:v>0</x:v>
      </x:c>
      <x:c r="I213" s="30" t="n">
        <x:v>0</x:v>
      </x:c>
      <x:c r="J213" s="30" t="n">
        <x:v>0</x:v>
      </x:c>
      <x:c r="K213" s="30" t="n">
        <x:v>0</x:v>
      </x:c>
      <x:c r="L213" s="30" t="n">
        <x:v>0</x:v>
      </x:c>
      <x:c r="M213" s="30" t="n">
        <x:v>0</x:v>
      </x:c>
      <x:c r="N213" s="30" t="n">
        <x:v>0</x:v>
      </x:c>
      <x:c r="O213" s="30" t="n">
        <x:v>228</x:v>
      </x:c>
      <x:c r="P213" s="30" t="n">
        <x:v>4</x:v>
      </x:c>
      <x:c r="Q213" s="30" t="n">
        <x:v>0</x:v>
      </x:c>
      <x:c r="R213" s="30" t="n">
        <x:v>1</x:v>
      </x:c>
      <x:c r="S213" s="30" t="n">
        <x:v>1</x:v>
      </x:c>
      <x:c r="T213" s="30" t="n">
        <x:v>1</x:v>
      </x:c>
      <x:c r="U213" s="30" t="n">
        <x:v>1</x:v>
      </x:c>
      <x:c r="V213" s="30" t="str">
        <x:v>4290</x:v>
      </x:c>
    </x:row>
    <x:row r="214">
      <x:c r="A214" s="29" t="str">
        <x:v>35020100</x:v>
      </x:c>
      <x:c r="B214" s="30" t="str">
        <x:v>BML-G1/P20MLT-04</x:v>
      </x:c>
      <x:c r="C214" s="30" t="str">
        <x:v>Available</x:v>
      </x:c>
      <x:c r="D214" s="30" t="str">
        <x:v>MISSILE LAUNCHER - BML-G1/P20MLT-04 (Left)</x:v>
      </x:c>
      <x:c r="E214" s="30" t="n">
        <x:v>4</x:v>
      </x:c>
      <x:c r="F214" s="30" t="n">
        <x:v>1770</x:v>
      </x:c>
      <x:c r="G214" s="30" t="n">
        <x:v>154</x:v>
      </x:c>
      <x:c r="H214" s="30" t="n">
        <x:v>0</x:v>
      </x:c>
      <x:c r="I214" s="30" t="n">
        <x:v>0</x:v>
      </x:c>
      <x:c r="J214" s="30" t="n">
        <x:v>0</x:v>
      </x:c>
      <x:c r="K214" s="30" t="n">
        <x:v>0</x:v>
      </x:c>
      <x:c r="L214" s="30" t="n">
        <x:v>0</x:v>
      </x:c>
      <x:c r="M214" s="30" t="n">
        <x:v>0</x:v>
      </x:c>
      <x:c r="N214" s="30" t="n">
        <x:v>0</x:v>
      </x:c>
      <x:c r="O214" s="30" t="n">
        <x:v>140</x:v>
      </x:c>
      <x:c r="P214" s="30" t="n">
        <x:v>3.8</x:v>
      </x:c>
      <x:c r="Q214" s="30" t="n">
        <x:v>0</x:v>
      </x:c>
      <x:c r="R214" s="30" t="n">
        <x:v>1</x:v>
      </x:c>
      <x:c r="S214" s="30" t="n">
        <x:v>1</x:v>
      </x:c>
      <x:c r="T214" s="30" t="n">
        <x:v>1</x:v>
      </x:c>
      <x:c r="U214" s="30" t="n">
        <x:v>1</x:v>
      </x:c>
      <x:c r="V214" s="30" t="str">
        <x:v>4291</x:v>
      </x:c>
    </x:row>
    <x:row r="215">
      <x:c r="A215" s="29" t="str">
        <x:v>35020200</x:v>
      </x:c>
      <x:c r="B215" s="30" t="str">
        <x:v>BML-G2/P05MLT-10</x:v>
      </x:c>
      <x:c r="C215" s="30" t="str">
        <x:v>Available</x:v>
      </x:c>
      <x:c r="D215" s="30" t="str">
        <x:v>MISSILE LAUNCHER - BML-G2/P05MLT-10 (Left)</x:v>
      </x:c>
      <x:c r="E215" s="30" t="n">
        <x:v>4</x:v>
      </x:c>
      <x:c r="F215" s="30" t="n">
        <x:v>5220</x:v>
      </x:c>
      <x:c r="G215" s="30" t="n">
        <x:v>320</x:v>
      </x:c>
      <x:c r="H215" s="30" t="n">
        <x:v>0</x:v>
      </x:c>
      <x:c r="I215" s="30" t="n">
        <x:v>0</x:v>
      </x:c>
      <x:c r="J215" s="30" t="n">
        <x:v>0</x:v>
      </x:c>
      <x:c r="K215" s="30" t="n">
        <x:v>0</x:v>
      </x:c>
      <x:c r="L215" s="30" t="n">
        <x:v>0</x:v>
      </x:c>
      <x:c r="M215" s="30" t="n">
        <x:v>0</x:v>
      </x:c>
      <x:c r="N215" s="30" t="n">
        <x:v>0</x:v>
      </x:c>
      <x:c r="O215" s="30" t="n">
        <x:v>300</x:v>
      </x:c>
      <x:c r="P215" s="30" t="n">
        <x:v>6.4</x:v>
      </x:c>
      <x:c r="Q215" s="30" t="n">
        <x:v>0</x:v>
      </x:c>
      <x:c r="R215" s="30" t="n">
        <x:v>1</x:v>
      </x:c>
      <x:c r="S215" s="30" t="n">
        <x:v>1</x:v>
      </x:c>
      <x:c r="T215" s="30" t="n">
        <x:v>1</x:v>
      </x:c>
      <x:c r="U215" s="30" t="n">
        <x:v>1</x:v>
      </x:c>
      <x:c r="V215" s="30" t="str">
        <x:v>4292</x:v>
      </x:c>
    </x:row>
    <x:row r="216">
      <x:c r="A216" s="29" t="str">
        <x:v>35030000</x:v>
      </x:c>
      <x:c r="B216" s="30" t="str">
        <x:v>IB-C03W3: NGI 006</x:v>
      </x:c>
      <x:c r="C216" s="30" t="str">
        <x:v>Available</x:v>
      </x:c>
      <x:c r="D216" s="30" t="str">
        <x:v>CORAL MISSILE LAUNCHER - IB-C03W3: NGI 006 (Left)</x:v>
      </x:c>
      <x:c r="E216" s="30" t="n">
        <x:v>4</x:v>
      </x:c>
      <x:c r="F216" s="30" t="n">
        <x:v>4200</x:v>
      </x:c>
      <x:c r="G216" s="30" t="n">
        <x:v>783</x:v>
      </x:c>
      <x:c r="H216" s="30" t="n">
        <x:v>2</x:v>
      </x:c>
      <x:c r="I216" s="30" t="n">
        <x:v>0</x:v>
      </x:c>
      <x:c r="J216" s="30" t="n">
        <x:v>2</x:v>
      </x:c>
      <x:c r="K216" s="30" t="n">
        <x:v>2</x:v>
      </x:c>
      <x:c r="L216" s="30" t="n">
        <x:v>2</x:v>
      </x:c>
      <x:c r="M216" s="30" t="n">
        <x:v>2</x:v>
      </x:c>
      <x:c r="N216" s="30" t="n">
        <x:v>0</x:v>
      </x:c>
      <x:c r="O216" s="30" t="n">
        <x:v>24</x:v>
      </x:c>
      <x:c r="P216" s="30" t="n">
        <x:v>8.6</x:v>
      </x:c>
      <x:c r="Q216" s="30" t="n">
        <x:v>0</x:v>
      </x:c>
      <x:c r="R216" s="30" t="n">
        <x:v>4</x:v>
      </x:c>
      <x:c r="S216" s="30" t="n">
        <x:v>4</x:v>
      </x:c>
      <x:c r="T216" s="30" t="n">
        <x:v>4</x:v>
      </x:c>
      <x:c r="U216" s="30" t="n">
        <x:v>1</x:v>
      </x:c>
      <x:c r="V216" s="30" t="str">
        <x:v>4240</x:v>
      </x:c>
    </x:row>
    <x:row r="217">
      <x:c r="A217" s="29" t="str">
        <x:v>35040000</x:v>
      </x:c>
      <x:c r="B217" s="30" t="str">
        <x:v>BML-G1/P07VTC-12</x:v>
      </x:c>
      <x:c r="C217" s="30" t="str">
        <x:v>Available</x:v>
      </x:c>
      <x:c r="D217" s="30" t="str">
        <x:v>VERTICAL MISSILE LAUNCHER - BML-G1/P07VTC-12 (Left)</x:v>
      </x:c>
      <x:c r="E217" s="30" t="n">
        <x:v>4</x:v>
      </x:c>
      <x:c r="F217" s="30" t="n">
        <x:v>5010</x:v>
      </x:c>
      <x:c r="G217" s="30" t="n">
        <x:v>525</x:v>
      </x:c>
      <x:c r="H217" s="30" t="n">
        <x:v>1</x:v>
      </x:c>
      <x:c r="I217" s="30" t="n">
        <x:v>0</x:v>
      </x:c>
      <x:c r="J217" s="30" t="n">
        <x:v>1</x:v>
      </x:c>
      <x:c r="K217" s="30" t="n">
        <x:v>1</x:v>
      </x:c>
      <x:c r="L217" s="30" t="n">
        <x:v>1</x:v>
      </x:c>
      <x:c r="M217" s="30" t="n">
        <x:v>1</x:v>
      </x:c>
      <x:c r="N217" s="30" t="n">
        <x:v>1</x:v>
      </x:c>
      <x:c r="O217" s="30" t="n">
        <x:v>360</x:v>
      </x:c>
      <x:c r="P217" s="30" t="n">
        <x:v>7.5</x:v>
      </x:c>
      <x:c r="Q217" s="30" t="n">
        <x:v>0</x:v>
      </x:c>
      <x:c r="R217" s="30" t="n">
        <x:v>0</x:v>
      </x:c>
      <x:c r="S217" s="30" t="n">
        <x:v>0</x:v>
      </x:c>
      <x:c r="T217" s="30" t="n">
        <x:v>0</x:v>
      </x:c>
      <x:c r="U217" s="30" t="n">
        <x:v>1</x:v>
      </x:c>
      <x:c r="V217" s="30" t="str">
        <x:v>4250</x:v>
      </x:c>
    </x:row>
    <x:row r="218">
      <x:c r="A218" s="29" t="str">
        <x:v>35040100</x:v>
      </x:c>
      <x:c r="B218" s="30" t="str">
        <x:v>BML-G1/P03VTC-08</x:v>
      </x:c>
      <x:c r="C218" s="30" t="str">
        <x:v>Available</x:v>
      </x:c>
      <x:c r="D218" s="30" t="str">
        <x:v>VERTICAL MISSILE LAUNCHER - BML-G1/P03VTC-08 (Left)</x:v>
      </x:c>
      <x:c r="E218" s="30" t="n">
        <x:v>4</x:v>
      </x:c>
      <x:c r="F218" s="30" t="n">
        <x:v>3920</x:v>
      </x:c>
      <x:c r="G218" s="30" t="n">
        <x:v>380</x:v>
      </x:c>
      <x:c r="H218" s="30" t="n">
        <x:v>1</x:v>
      </x:c>
      <x:c r="I218" s="30" t="n">
        <x:v>0</x:v>
      </x:c>
      <x:c r="J218" s="30" t="n">
        <x:v>1</x:v>
      </x:c>
      <x:c r="K218" s="30" t="n">
        <x:v>1</x:v>
      </x:c>
      <x:c r="L218" s="30" t="n">
        <x:v>1</x:v>
      </x:c>
      <x:c r="M218" s="30" t="n">
        <x:v>1</x:v>
      </x:c>
      <x:c r="N218" s="30" t="n">
        <x:v>1</x:v>
      </x:c>
      <x:c r="O218" s="30" t="n">
        <x:v>224</x:v>
      </x:c>
      <x:c r="P218" s="30" t="n">
        <x:v>6</x:v>
      </x:c>
      <x:c r="Q218" s="30" t="n">
        <x:v>0</x:v>
      </x:c>
      <x:c r="R218" s="30" t="n">
        <x:v>0</x:v>
      </x:c>
      <x:c r="S218" s="30" t="n">
        <x:v>0</x:v>
      </x:c>
      <x:c r="T218" s="30" t="n">
        <x:v>0</x:v>
      </x:c>
      <x:c r="U218" s="30" t="n">
        <x:v>1</x:v>
      </x:c>
      <x:c r="V218" s="30" t="str">
        <x:v>4252</x:v>
      </x:c>
    </x:row>
    <x:row r="219">
      <x:c r="A219" s="29" t="str">
        <x:v>35040200</x:v>
      </x:c>
      <x:c r="B219" s="30" t="str">
        <x:v>BML-G1/P01VTC-04</x:v>
      </x:c>
      <x:c r="C219" s="30" t="str">
        <x:v>Available</x:v>
      </x:c>
      <x:c r="D219" s="30" t="str">
        <x:v>VERTICAL MISSILE LAUNCHER - BML-G1/P01VTC-04 (Left)</x:v>
      </x:c>
      <x:c r="E219" s="30" t="n">
        <x:v>4</x:v>
      </x:c>
      <x:c r="F219" s="30" t="n">
        <x:v>2240</x:v>
      </x:c>
      <x:c r="G219" s="30" t="n">
        <x:v>258</x:v>
      </x:c>
      <x:c r="H219" s="30" t="n">
        <x:v>1</x:v>
      </x:c>
      <x:c r="I219" s="30" t="n">
        <x:v>0</x:v>
      </x:c>
      <x:c r="J219" s="30" t="n">
        <x:v>1</x:v>
      </x:c>
      <x:c r="K219" s="30" t="n">
        <x:v>1</x:v>
      </x:c>
      <x:c r="L219" s="30" t="n">
        <x:v>1</x:v>
      </x:c>
      <x:c r="M219" s="30" t="n">
        <x:v>1</x:v>
      </x:c>
      <x:c r="N219" s="30" t="n">
        <x:v>1</x:v>
      </x:c>
      <x:c r="O219" s="30" t="n">
        <x:v>108</x:v>
      </x:c>
      <x:c r="P219" s="30" t="n">
        <x:v>4.8</x:v>
      </x:c>
      <x:c r="Q219" s="30" t="n">
        <x:v>0</x:v>
      </x:c>
      <x:c r="R219" s="30" t="n">
        <x:v>0</x:v>
      </x:c>
      <x:c r="S219" s="30" t="n">
        <x:v>0</x:v>
      </x:c>
      <x:c r="T219" s="30" t="n">
        <x:v>0</x:v>
      </x:c>
      <x:c r="U219" s="30" t="n">
        <x:v>1</x:v>
      </x:c>
      <x:c r="V219" s="30" t="str">
        <x:v>4251</x:v>
      </x:c>
    </x:row>
    <x:row r="220">
      <x:c r="A220" s="29" t="str">
        <x:v>35050000</x:v>
      </x:c>
      <x:c r="B220" s="30" t="str">
        <x:v>45-091 JVLN BETA</x:v>
      </x:c>
      <x:c r="C220" s="30" t="str">
        <x:v>Available</x:v>
      </x:c>
      <x:c r="D220" s="30" t="str">
        <x:v>DETONATING MISSILE LAUNCHER - 45-091 JVLN BETA (Left)</x:v>
      </x:c>
      <x:c r="E220" s="30" t="n">
        <x:v>4</x:v>
      </x:c>
      <x:c r="F220" s="30" t="n">
        <x:v>4250</x:v>
      </x:c>
      <x:c r="G220" s="30" t="n">
        <x:v>425</x:v>
      </x:c>
      <x:c r="H220" s="30" t="n">
        <x:v>2</x:v>
      </x:c>
      <x:c r="I220" s="30" t="n">
        <x:v>255</x:v>
      </x:c>
      <x:c r="J220" s="30" t="n">
        <x:v>2</x:v>
      </x:c>
      <x:c r="K220" s="30" t="n">
        <x:v>2</x:v>
      </x:c>
      <x:c r="L220" s="30" t="n">
        <x:v>2</x:v>
      </x:c>
      <x:c r="M220" s="30" t="n">
        <x:v>2</x:v>
      </x:c>
      <x:c r="N220" s="30" t="n">
        <x:v>0</x:v>
      </x:c>
      <x:c r="O220" s="30" t="n">
        <x:v>32</x:v>
      </x:c>
      <x:c r="P220" s="30" t="n">
        <x:v>4.1</x:v>
      </x:c>
      <x:c r="Q220" s="30" t="n">
        <x:v>0</x:v>
      </x:c>
      <x:c r="R220" s="30" t="n">
        <x:v>0</x:v>
      </x:c>
      <x:c r="S220" s="30" t="n">
        <x:v>0</x:v>
      </x:c>
      <x:c r="T220" s="30" t="n">
        <x:v>0</x:v>
      </x:c>
      <x:c r="U220" s="30" t="n">
        <x:v>1</x:v>
      </x:c>
      <x:c r="V220" s="30" t="str">
        <x:v>4260</x:v>
      </x:c>
    </x:row>
    <x:row r="221">
      <x:c r="A221" s="29" t="str">
        <x:v>35070000</x:v>
      </x:c>
      <x:c r="B221" s="30" t="str">
        <x:v>WS-5001 SOUP</x:v>
      </x:c>
      <x:c r="C221" s="30" t="str">
        <x:v>Available</x:v>
      </x:c>
      <x:c r="D221" s="30" t="str">
        <x:v>SCATTER MISSILE LAUNCHER - WS-5001 SOUP (Left)</x:v>
      </x:c>
      <x:c r="E221" s="30" t="n">
        <x:v>4</x:v>
      </x:c>
      <x:c r="F221" s="30" t="n">
        <x:v>5620</x:v>
      </x:c>
      <x:c r="G221" s="30" t="n">
        <x:v>680</x:v>
      </x:c>
      <x:c r="H221" s="30" t="n">
        <x:v>1</x:v>
      </x:c>
      <x:c r="I221" s="30" t="n">
        <x:v>0</x:v>
      </x:c>
      <x:c r="J221" s="30" t="n">
        <x:v>1</x:v>
      </x:c>
      <x:c r="K221" s="30" t="n">
        <x:v>1</x:v>
      </x:c>
      <x:c r="L221" s="30" t="n">
        <x:v>1</x:v>
      </x:c>
      <x:c r="M221" s="30" t="n">
        <x:v>1</x:v>
      </x:c>
      <x:c r="N221" s="30" t="n">
        <x:v>1</x:v>
      </x:c>
      <x:c r="O221" s="30" t="n">
        <x:v>420</x:v>
      </x:c>
      <x:c r="P221" s="30" t="n">
        <x:v>8</x:v>
      </x:c>
      <x:c r="Q221" s="30" t="n">
        <x:v>0</x:v>
      </x:c>
      <x:c r="R221" s="30" t="n">
        <x:v>1</x:v>
      </x:c>
      <x:c r="S221" s="30" t="n">
        <x:v>1</x:v>
      </x:c>
      <x:c r="T221" s="30" t="n">
        <x:v>1</x:v>
      </x:c>
      <x:c r="U221" s="30" t="n">
        <x:v>1</x:v>
      </x:c>
      <x:c r="V221" s="30" t="str">
        <x:v>4280</x:v>
      </x:c>
    </x:row>
    <x:row r="222">
      <x:c r="A222" s="29" t="str">
        <x:v>35080000</x:v>
      </x:c>
      <x:c r="B222" s="30" t="str">
        <x:v>BML-G1/P32DUO-03</x:v>
      </x:c>
      <x:c r="C222" s="30" t="str">
        <x:v>Available</x:v>
      </x:c>
      <x:c r="D222" s="30" t="str">
        <x:v>DUAL MISSILE LAUNCHER - BML-G1/P32DUO-03 (Left)</x:v>
      </x:c>
      <x:c r="E222" s="30" t="n">
        <x:v>4</x:v>
      </x:c>
      <x:c r="F222" s="30" t="n">
        <x:v>3450</x:v>
      </x:c>
      <x:c r="G222" s="30" t="n">
        <x:v>262</x:v>
      </x:c>
      <x:c r="H222" s="30" t="n">
        <x:v>2</x:v>
      </x:c>
      <x:c r="I222" s="30" t="n">
        <x:v>2</x:v>
      </x:c>
      <x:c r="J222" s="30" t="n">
        <x:v>2</x:v>
      </x:c>
      <x:c r="K222" s="30" t="n">
        <x:v>2</x:v>
      </x:c>
      <x:c r="L222" s="30" t="n">
        <x:v>2</x:v>
      </x:c>
      <x:c r="M222" s="30" t="n">
        <x:v>2</x:v>
      </x:c>
      <x:c r="N222" s="30" t="n">
        <x:v>2</x:v>
      </x:c>
      <x:c r="O222" s="30" t="n">
        <x:v>180</x:v>
      </x:c>
      <x:c r="P222" s="30" t="n">
        <x:v>3.5</x:v>
      </x:c>
      <x:c r="Q222" s="30" t="n">
        <x:v>0</x:v>
      </x:c>
      <x:c r="R222" s="30" t="n">
        <x:v>0</x:v>
      </x:c>
      <x:c r="S222" s="30" t="n">
        <x:v>0</x:v>
      </x:c>
      <x:c r="T222" s="30" t="n">
        <x:v>0</x:v>
      </x:c>
      <x:c r="U222" s="30" t="n">
        <x:v>1</x:v>
      </x:c>
      <x:c r="V222" s="30" t="str">
        <x:v>4300</x:v>
      </x:c>
    </x:row>
    <x:row r="223">
      <x:c r="A223" s="29" t="str">
        <x:v>35080100</x:v>
      </x:c>
      <x:c r="B223" s="30" t="str">
        <x:v>BML-G2/P08DUO-03</x:v>
      </x:c>
      <x:c r="C223" s="30" t="str">
        <x:v>Available</x:v>
      </x:c>
      <x:c r="D223" s="30" t="str">
        <x:v>DUAL MISSILE LAUNCHER - BML-G2/P08DUO-03 (Left)</x:v>
      </x:c>
      <x:c r="E223" s="30" t="n">
        <x:v>4</x:v>
      </x:c>
      <x:c r="F223" s="30" t="n">
        <x:v>4020</x:v>
      </x:c>
      <x:c r="G223" s="30" t="n">
        <x:v>332</x:v>
      </x:c>
      <x:c r="H223" s="30" t="n">
        <x:v>2</x:v>
      </x:c>
      <x:c r="I223" s="30" t="n">
        <x:v>2</x:v>
      </x:c>
      <x:c r="J223" s="30" t="n">
        <x:v>2</x:v>
      </x:c>
      <x:c r="K223" s="30" t="n">
        <x:v>2</x:v>
      </x:c>
      <x:c r="L223" s="30" t="n">
        <x:v>2</x:v>
      </x:c>
      <x:c r="M223" s="30" t="n">
        <x:v>2</x:v>
      </x:c>
      <x:c r="N223" s="30" t="n">
        <x:v>2</x:v>
      </x:c>
      <x:c r="O223" s="30" t="n">
        <x:v>156</x:v>
      </x:c>
      <x:c r="P223" s="30" t="n">
        <x:v>5.4</x:v>
      </x:c>
      <x:c r="Q223" s="30" t="n">
        <x:v>0</x:v>
      </x:c>
      <x:c r="R223" s="30" t="n">
        <x:v>0</x:v>
      </x:c>
      <x:c r="S223" s="30" t="n">
        <x:v>0</x:v>
      </x:c>
      <x:c r="T223" s="30" t="n">
        <x:v>0</x:v>
      </x:c>
      <x:c r="U223" s="30" t="n">
        <x:v>1</x:v>
      </x:c>
      <x:c r="V223" s="30" t="str">
        <x:v>4301</x:v>
      </x:c>
    </x:row>
    <x:row r="224">
      <x:c r="A224" s="29" t="str">
        <x:v>35080200</x:v>
      </x:c>
      <x:c r="B224" s="30" t="str">
        <x:v>BML-G1/P31DUO-02</x:v>
      </x:c>
      <x:c r="C224" s="30" t="str">
        <x:v>Available</x:v>
      </x:c>
      <x:c r="D224" s="30" t="str">
        <x:v>DUAL MISSILE LAUNCHER - BML-G1/P31DUO-02 (Left)</x:v>
      </x:c>
      <x:c r="E224" s="30" t="n">
        <x:v>4</x:v>
      </x:c>
      <x:c r="F224" s="30" t="n">
        <x:v>1900</x:v>
      </x:c>
      <x:c r="G224" s="30" t="n">
        <x:v>182</x:v>
      </x:c>
      <x:c r="H224" s="30" t="n">
        <x:v>2</x:v>
      </x:c>
      <x:c r="I224" s="30" t="n">
        <x:v>2</x:v>
      </x:c>
      <x:c r="J224" s="30" t="n">
        <x:v>2</x:v>
      </x:c>
      <x:c r="K224" s="30" t="n">
        <x:v>2</x:v>
      </x:c>
      <x:c r="L224" s="30" t="n">
        <x:v>2</x:v>
      </x:c>
      <x:c r="M224" s="30" t="n">
        <x:v>2</x:v>
      </x:c>
      <x:c r="N224" s="30" t="n">
        <x:v>2</x:v>
      </x:c>
      <x:c r="O224" s="30" t="n">
        <x:v>124</x:v>
      </x:c>
      <x:c r="P224" s="30" t="n">
        <x:v>3.1</x:v>
      </x:c>
      <x:c r="Q224" s="30" t="n">
        <x:v>0</x:v>
      </x:c>
      <x:c r="R224" s="30" t="n">
        <x:v>0</x:v>
      </x:c>
      <x:c r="S224" s="30" t="n">
        <x:v>0</x:v>
      </x:c>
      <x:c r="T224" s="30" t="n">
        <x:v>0</x:v>
      </x:c>
      <x:c r="U224" s="30" t="n">
        <x:v>1</x:v>
      </x:c>
      <x:c r="V224" s="30" t="str">
        <x:v>4303</x:v>
      </x:c>
    </x:row>
    <x:row r="225">
      <x:c r="A225" s="29" t="str">
        <x:v>35090000</x:v>
      </x:c>
      <x:c r="B225" s="30" t="str">
        <x:v>BML-G2/P19SPL-12</x:v>
      </x:c>
      <x:c r="C225" s="30" t="str">
        <x:v>Available</x:v>
      </x:c>
      <x:c r="D225" s="30" t="str">
        <x:v>SPLIT MISSILE LAUNCHER - BML-G2/P19SPL-12 (Left)</x:v>
      </x:c>
      <x:c r="E225" s="30" t="n">
        <x:v>4</x:v>
      </x:c>
      <x:c r="F225" s="30" t="n">
        <x:v>3580</x:v>
      </x:c>
      <x:c r="G225" s="30" t="n">
        <x:v>325</x:v>
      </x:c>
      <x:c r="H225" s="30" t="n">
        <x:v>1</x:v>
      </x:c>
      <x:c r="I225" s="30" t="n">
        <x:v>1</x:v>
      </x:c>
      <x:c r="J225" s="30" t="n">
        <x:v>1</x:v>
      </x:c>
      <x:c r="K225" s="30" t="n">
        <x:v>1</x:v>
      </x:c>
      <x:c r="L225" s="30" t="n">
        <x:v>1</x:v>
      </x:c>
      <x:c r="M225" s="30" t="n">
        <x:v>1</x:v>
      </x:c>
      <x:c r="N225" s="30" t="n">
        <x:v>1</x:v>
      </x:c>
      <x:c r="O225" s="30" t="n">
        <x:v>80</x:v>
      </x:c>
      <x:c r="P225" s="30" t="n">
        <x:v>6</x:v>
      </x:c>
      <x:c r="Q225" s="30" t="n">
        <x:v>0</x:v>
      </x:c>
      <x:c r="R225" s="30" t="n">
        <x:v>0</x:v>
      </x:c>
      <x:c r="S225" s="30" t="n">
        <x:v>0</x:v>
      </x:c>
      <x:c r="T225" s="30" t="n">
        <x:v>0</x:v>
      </x:c>
      <x:c r="U225" s="30" t="n">
        <x:v>1</x:v>
      </x:c>
      <x:c r="V225" s="30" t="str">
        <x:v>4310</x:v>
      </x:c>
    </x:row>
    <x:row r="226">
      <x:c r="A226" s="29" t="str">
        <x:v>35090100</x:v>
      </x:c>
      <x:c r="B226" s="30" t="str">
        <x:v>BML-G2/P16SPL-08</x:v>
      </x:c>
      <x:c r="C226" s="30" t="str">
        <x:v>Available</x:v>
      </x:c>
      <x:c r="D226" s="30" t="str">
        <x:v>SPLIT MISSILE LAUNCHER - BML-G2/P16SPL-08 (Left)</x:v>
      </x:c>
      <x:c r="E226" s="30" t="n">
        <x:v>4</x:v>
      </x:c>
      <x:c r="F226" s="30" t="n">
        <x:v>2800</x:v>
      </x:c>
      <x:c r="G226" s="30" t="n">
        <x:v>228</x:v>
      </x:c>
      <x:c r="H226" s="30" t="n">
        <x:v>1</x:v>
      </x:c>
      <x:c r="I226" s="30" t="n">
        <x:v>1</x:v>
      </x:c>
      <x:c r="J226" s="30" t="n">
        <x:v>1</x:v>
      </x:c>
      <x:c r="K226" s="30" t="n">
        <x:v>1</x:v>
      </x:c>
      <x:c r="L226" s="30" t="n">
        <x:v>1</x:v>
      </x:c>
      <x:c r="M226" s="30" t="n">
        <x:v>1</x:v>
      </x:c>
      <x:c r="N226" s="30" t="n">
        <x:v>1</x:v>
      </x:c>
      <x:c r="O226" s="30" t="n">
        <x:v>40</x:v>
      </x:c>
      <x:c r="P226" s="30" t="n">
        <x:v>4.5</x:v>
      </x:c>
      <x:c r="Q226" s="30" t="n">
        <x:v>0</x:v>
      </x:c>
      <x:c r="R226" s="30" t="n">
        <x:v>0</x:v>
      </x:c>
      <x:c r="S226" s="30" t="n">
        <x:v>0</x:v>
      </x:c>
      <x:c r="T226" s="30" t="n">
        <x:v>0</x:v>
      </x:c>
      <x:c r="U226" s="30" t="n">
        <x:v>1</x:v>
      </x:c>
      <x:c r="V226" s="30" t="str">
        <x:v>4311</x:v>
      </x:c>
    </x:row>
    <x:row r="227">
      <x:c r="A227" s="29" t="str">
        <x:v>35090200</x:v>
      </x:c>
      <x:c r="B227" s="30" t="str">
        <x:v>BML-G2/P17SPL-16</x:v>
      </x:c>
      <x:c r="C227" s="30" t="str">
        <x:v>Available</x:v>
      </x:c>
      <x:c r="D227" s="30" t="str">
        <x:v>SPLIT MISSILE LAUNCHER - BML-G2/P17SPL-16 (Left)</x:v>
      </x:c>
      <x:c r="E227" s="30" t="n">
        <x:v>4</x:v>
      </x:c>
      <x:c r="F227" s="30" t="n">
        <x:v>5010</x:v>
      </x:c>
      <x:c r="G227" s="30" t="n">
        <x:v>510</x:v>
      </x:c>
      <x:c r="H227" s="30" t="n">
        <x:v>1</x:v>
      </x:c>
      <x:c r="I227" s="30" t="n">
        <x:v>1</x:v>
      </x:c>
      <x:c r="J227" s="30" t="n">
        <x:v>1</x:v>
      </x:c>
      <x:c r="K227" s="30" t="n">
        <x:v>1</x:v>
      </x:c>
      <x:c r="L227" s="30" t="n">
        <x:v>1</x:v>
      </x:c>
      <x:c r="M227" s="30" t="n">
        <x:v>1</x:v>
      </x:c>
      <x:c r="N227" s="30" t="n">
        <x:v>1</x:v>
      </x:c>
      <x:c r="O227" s="30" t="n">
        <x:v>72</x:v>
      </x:c>
      <x:c r="P227" s="30" t="n">
        <x:v>7.7</x:v>
      </x:c>
      <x:c r="Q227" s="30" t="n">
        <x:v>0</x:v>
      </x:c>
      <x:c r="R227" s="30" t="n">
        <x:v>0</x:v>
      </x:c>
      <x:c r="S227" s="30" t="n">
        <x:v>0</x:v>
      </x:c>
      <x:c r="T227" s="30" t="n">
        <x:v>0</x:v>
      </x:c>
      <x:c r="U227" s="30" t="n">
        <x:v>1</x:v>
      </x:c>
      <x:c r="V227" s="30" t="str">
        <x:v>4302</x:v>
      </x:c>
    </x:row>
    <x:row r="228">
      <x:c r="A228" s="29" t="str">
        <x:v>35100000</x:v>
      </x:c>
      <x:c r="B228" s="30" t="str">
        <x:v>SONGBIRDS</x:v>
      </x:c>
      <x:c r="C228" s="30" t="str">
        <x:v>Available</x:v>
      </x:c>
      <x:c r="D228" s="30" t="str">
        <x:v>GRENADE CANNON - SONGBIRDS (Left)</x:v>
      </x:c>
      <x:c r="E228" s="30" t="n">
        <x:v>4</x:v>
      </x:c>
      <x:c r="F228" s="30" t="n">
        <x:v>5500</x:v>
      </x:c>
      <x:c r="G228" s="30" t="n">
        <x:v>285</x:v>
      </x:c>
      <x:c r="H228" s="30" t="n">
        <x:v>0</x:v>
      </x:c>
      <x:c r="I228" s="30" t="n">
        <x:v>0</x:v>
      </x:c>
      <x:c r="J228" s="30" t="n">
        <x:v>0</x:v>
      </x:c>
      <x:c r="K228" s="30" t="n">
        <x:v>0</x:v>
      </x:c>
      <x:c r="L228" s="30" t="n">
        <x:v>0</x:v>
      </x:c>
      <x:c r="M228" s="30" t="n">
        <x:v>0</x:v>
      </x:c>
      <x:c r="N228" s="30" t="n">
        <x:v>0</x:v>
      </x:c>
      <x:c r="O228" s="30" t="n">
        <x:v>42</x:v>
      </x:c>
      <x:c r="P228" s="30" t="n">
        <x:v>6.4</x:v>
      </x:c>
      <x:c r="Q228" s="30" t="n">
        <x:v>0</x:v>
      </x:c>
      <x:c r="R228" s="30" t="n">
        <x:v>0</x:v>
      </x:c>
      <x:c r="S228" s="30" t="n">
        <x:v>0</x:v>
      </x:c>
      <x:c r="T228" s="30" t="n">
        <x:v>0</x:v>
      </x:c>
      <x:c r="U228" s="30" t="n">
        <x:v>1</x:v>
      </x:c>
      <x:c r="V228" s="30" t="str">
        <x:v>4410</x:v>
      </x:c>
    </x:row>
    <x:row r="229">
      <x:c r="A229" s="29" t="str">
        <x:v>35110000</x:v>
      </x:c>
      <x:c r="B229" s="30" t="str">
        <x:v>EL-PW-01 TRUENO</x:v>
      </x:c>
      <x:c r="C229" s="30" t="str">
        <x:v>Available</x:v>
      </x:c>
      <x:c r="D229" s="30" t="str">
        <x:v>NEEDLE MISSILE LAUNCHER - EL-PW-01 TRUENO (Left)</x:v>
      </x:c>
      <x:c r="E229" s="30" t="n">
        <x:v>4</x:v>
      </x:c>
      <x:c r="F229" s="30" t="n">
        <x:v>3100</x:v>
      </x:c>
      <x:c r="G229" s="30" t="n">
        <x:v>420</x:v>
      </x:c>
      <x:c r="H229" s="30" t="n">
        <x:v>0</x:v>
      </x:c>
      <x:c r="I229" s="30" t="n">
        <x:v>0</x:v>
      </x:c>
      <x:c r="J229" s="30" t="n">
        <x:v>0</x:v>
      </x:c>
      <x:c r="K229" s="30" t="n">
        <x:v>0</x:v>
      </x:c>
      <x:c r="L229" s="30" t="n">
        <x:v>0</x:v>
      </x:c>
      <x:c r="M229" s="30" t="n">
        <x:v>0</x:v>
      </x:c>
      <x:c r="N229" s="30" t="n">
        <x:v>0</x:v>
      </x:c>
      <x:c r="O229" s="30" t="n">
        <x:v>62</x:v>
      </x:c>
      <x:c r="P229" s="30" t="n">
        <x:v>4.2</x:v>
      </x:c>
      <x:c r="Q229" s="30" t="n">
        <x:v>0</x:v>
      </x:c>
      <x:c r="R229" s="30" t="n">
        <x:v>0</x:v>
      </x:c>
      <x:c r="S229" s="30" t="n">
        <x:v>0</x:v>
      </x:c>
      <x:c r="T229" s="30" t="n">
        <x:v>0</x:v>
      </x:c>
      <x:c r="U229" s="30" t="n">
        <x:v>1</x:v>
      </x:c>
      <x:c r="V229" s="30" t="str">
        <x:v>4330</x:v>
      </x:c>
    </x:row>
    <x:row r="230">
      <x:c r="A230" s="29" t="str">
        <x:v>35120000</x:v>
      </x:c>
      <x:c r="B230" s="30" t="str">
        <x:v>BML-G1/P29CNT</x:v>
      </x:c>
      <x:c r="C230" s="30" t="str">
        <x:v>Available</x:v>
      </x:c>
      <x:c r="D230" s="30" t="str">
        <x:v>CONTAINER MISSILE LAUNCHER - BML-G1/P29CNT (Left)</x:v>
      </x:c>
      <x:c r="E230" s="30" t="n">
        <x:v>4</x:v>
      </x:c>
      <x:c r="F230" s="30" t="n">
        <x:v>6370</x:v>
      </x:c>
      <x:c r="G230" s="30" t="n">
        <x:v>150</x:v>
      </x:c>
      <x:c r="H230" s="30" t="n">
        <x:v>2</x:v>
      </x:c>
      <x:c r="I230" s="30" t="n">
        <x:v>255</x:v>
      </x:c>
      <x:c r="J230" s="30" t="n">
        <x:v>2</x:v>
      </x:c>
      <x:c r="K230" s="30" t="n">
        <x:v>2</x:v>
      </x:c>
      <x:c r="L230" s="30" t="n">
        <x:v>2</x:v>
      </x:c>
      <x:c r="M230" s="30" t="n">
        <x:v>2</x:v>
      </x:c>
      <x:c r="N230" s="30" t="n">
        <x:v>2</x:v>
      </x:c>
      <x:c r="O230" s="30" t="n">
        <x:v>12</x:v>
      </x:c>
      <x:c r="P230" s="30" t="n">
        <x:v>12</x:v>
      </x:c>
      <x:c r="Q230" s="30" t="n">
        <x:v>0</x:v>
      </x:c>
      <x:c r="R230" s="30" t="n">
        <x:v>0</x:v>
      </x:c>
      <x:c r="S230" s="30" t="n">
        <x:v>0</x:v>
      </x:c>
      <x:c r="T230" s="30" t="n">
        <x:v>0</x:v>
      </x:c>
      <x:c r="U230" s="30" t="n">
        <x:v>1</x:v>
      </x:c>
      <x:c r="V230" s="30" t="str">
        <x:v>4320</x:v>
      </x:c>
    </x:row>
    <x:row r="231">
      <x:c r="A231" s="29" t="str">
        <x:v>35130000</x:v>
      </x:c>
      <x:c r="B231" s="30" t="str">
        <x:v>WR-0999 DELIVERY BOY</x:v>
      </x:c>
      <x:c r="C231" s="30" t="str">
        <x:v>Available</x:v>
      </x:c>
      <x:c r="D231" s="30" t="str">
        <x:v>CLUSTER MISSILE LAUNCHER - WR-0999 DELIVERY BOY (Left)</x:v>
      </x:c>
      <x:c r="E231" s="30" t="n">
        <x:v>4</x:v>
      </x:c>
      <x:c r="F231" s="30" t="n">
        <x:v>6890</x:v>
      </x:c>
      <x:c r="G231" s="30" t="n">
        <x:v>499</x:v>
      </x:c>
      <x:c r="H231" s="30" t="n">
        <x:v>4</x:v>
      </x:c>
      <x:c r="I231" s="30" t="n">
        <x:v>255</x:v>
      </x:c>
      <x:c r="J231" s="30" t="n">
        <x:v>4</x:v>
      </x:c>
      <x:c r="K231" s="30" t="n">
        <x:v>4</x:v>
      </x:c>
      <x:c r="L231" s="30" t="n">
        <x:v>4</x:v>
      </x:c>
      <x:c r="M231" s="30" t="n">
        <x:v>4</x:v>
      </x:c>
      <x:c r="N231" s="30" t="n">
        <x:v>0</x:v>
      </x:c>
      <x:c r="O231" s="30" t="n">
        <x:v>20</x:v>
      </x:c>
      <x:c r="P231" s="30" t="n">
        <x:v>9</x:v>
      </x:c>
      <x:c r="Q231" s="30" t="n">
        <x:v>0</x:v>
      </x:c>
      <x:c r="R231" s="30" t="n">
        <x:v>0</x:v>
      </x:c>
      <x:c r="S231" s="30" t="n">
        <x:v>0</x:v>
      </x:c>
      <x:c r="T231" s="30" t="n">
        <x:v>0</x:v>
      </x:c>
      <x:c r="U231" s="30" t="n">
        <x:v>1</x:v>
      </x:c>
      <x:c r="V231" s="30" t="str">
        <x:v>4340</x:v>
      </x:c>
    </x:row>
    <x:row r="232">
      <x:c r="A232" s="29" t="str">
        <x:v>35140100</x:v>
      </x:c>
      <x:c r="B232" s="30" t="str">
        <x:v>Vvc-700LD</x:v>
      </x:c>
      <x:c r="C232" s="30" t="str">
        <x:v>Available</x:v>
      </x:c>
      <x:c r="D232" s="30" t="str">
        <x:v>LASER DRONE - Vvc-700LD (Left)</x:v>
      </x:c>
      <x:c r="E232" s="30" t="n">
        <x:v>4</x:v>
      </x:c>
      <x:c r="F232" s="30" t="n">
        <x:v>3800</x:v>
      </x:c>
      <x:c r="G232" s="30" t="n">
        <x:v>570</x:v>
      </x:c>
      <x:c r="H232" s="30" t="n">
        <x:v>3</x:v>
      </x:c>
      <x:c r="I232" s="30" t="n">
        <x:v>0</x:v>
      </x:c>
      <x:c r="J232" s="30" t="n">
        <x:v>3</x:v>
      </x:c>
      <x:c r="K232" s="30" t="n">
        <x:v>3</x:v>
      </x:c>
      <x:c r="L232" s="30" t="n">
        <x:v>3</x:v>
      </x:c>
      <x:c r="M232" s="30" t="n">
        <x:v>3</x:v>
      </x:c>
      <x:c r="N232" s="30" t="n">
        <x:v>0</x:v>
      </x:c>
      <x:c r="O232" s="30" t="n">
        <x:v>120</x:v>
      </x:c>
      <x:c r="P232" s="30" t="n">
        <x:v>10</x:v>
      </x:c>
      <x:c r="Q232" s="30" t="n">
        <x:v>0</x:v>
      </x:c>
      <x:c r="R232" s="30" t="n">
        <x:v>3</x:v>
      </x:c>
      <x:c r="S232" s="30" t="n">
        <x:v>3</x:v>
      </x:c>
      <x:c r="T232" s="30" t="n">
        <x:v>3</x:v>
      </x:c>
      <x:c r="U232" s="30" t="n">
        <x:v>1</x:v>
      </x:c>
      <x:c r="V232" s="30" t="str">
        <x:v>5810</x:v>
      </x:c>
    </x:row>
    <x:row r="233">
      <x:c r="A233" s="29" t="str">
        <x:v>35150100</x:v>
      </x:c>
      <x:c r="B233" s="30" t="str">
        <x:v>VP-60LT</x:v>
      </x:c>
      <x:c r="C233" s="30" t="str">
        <x:v>Available</x:v>
      </x:c>
      <x:c r="D233" s="30" t="str">
        <x:v>LASER TURRET - VP-60LT (Left)</x:v>
      </x:c>
      <x:c r="E233" s="30" t="n">
        <x:v>4</x:v>
      </x:c>
      <x:c r="F233" s="30" t="n">
        <x:v>2800</x:v>
      </x:c>
      <x:c r="G233" s="30" t="n">
        <x:v>560</x:v>
      </x:c>
      <x:c r="H233" s="30" t="n">
        <x:v>4</x:v>
      </x:c>
      <x:c r="I233" s="30" t="n">
        <x:v>4</x:v>
      </x:c>
      <x:c r="J233" s="30" t="n">
        <x:v>4</x:v>
      </x:c>
      <x:c r="K233" s="30" t="n">
        <x:v>4</x:v>
      </x:c>
      <x:c r="L233" s="30" t="n">
        <x:v>4</x:v>
      </x:c>
      <x:c r="M233" s="30" t="n">
        <x:v>4</x:v>
      </x:c>
      <x:c r="N233" s="30" t="n">
        <x:v>0</x:v>
      </x:c>
      <x:c r="O233" s="30" t="n">
        <x:v>52</x:v>
      </x:c>
      <x:c r="P233" s="30" t="n">
        <x:v>5</x:v>
      </x:c>
      <x:c r="Q233" s="30" t="n">
        <x:v>0</x:v>
      </x:c>
      <x:c r="R233" s="30" t="n">
        <x:v>0</x:v>
      </x:c>
      <x:c r="S233" s="30" t="n">
        <x:v>0</x:v>
      </x:c>
      <x:c r="T233" s="30" t="n">
        <x:v>0</x:v>
      </x:c>
      <x:c r="U233" s="30" t="n">
        <x:v>1</x:v>
      </x:c>
      <x:c r="V233" s="30" t="str">
        <x:v>5820</x:v>
      </x:c>
    </x:row>
    <x:row r="234">
      <x:c r="A234" s="29" t="str">
        <x:v>35200000</x:v>
      </x:c>
      <x:c r="B234" s="30" t="str">
        <x:v>SB-033M MORLEY</x:v>
      </x:c>
      <x:c r="C234" s="30" t="str">
        <x:v>Available</x:v>
      </x:c>
      <x:c r="D234" s="30" t="str">
        <x:v>SPREAD BAZOOKA - SB-033M MORLEY (Left)</x:v>
      </x:c>
      <x:c r="E234" s="30" t="n">
        <x:v>4</x:v>
      </x:c>
      <x:c r="F234" s="30" t="n">
        <x:v>6580</x:v>
      </x:c>
      <x:c r="G234" s="30" t="n">
        <x:v>465</x:v>
      </x:c>
      <x:c r="H234" s="30" t="n">
        <x:v>2</x:v>
      </x:c>
      <x:c r="I234" s="30" t="n">
        <x:v>0</x:v>
      </x:c>
      <x:c r="J234" s="30" t="n">
        <x:v>2</x:v>
      </x:c>
      <x:c r="K234" s="30" t="n">
        <x:v>2</x:v>
      </x:c>
      <x:c r="L234" s="30" t="n">
        <x:v>2</x:v>
      </x:c>
      <x:c r="M234" s="30" t="n">
        <x:v>2</x:v>
      </x:c>
      <x:c r="N234" s="30" t="n">
        <x:v>0</x:v>
      </x:c>
      <x:c r="O234" s="30" t="n">
        <x:v>25</x:v>
      </x:c>
      <x:c r="P234" s="30" t="n">
        <x:v>5</x:v>
      </x:c>
      <x:c r="Q234" s="30" t="n">
        <x:v>0</x:v>
      </x:c>
      <x:c r="R234" s="30" t="n">
        <x:v>0</x:v>
      </x:c>
      <x:c r="S234" s="30" t="n">
        <x:v>0</x:v>
      </x:c>
      <x:c r="T234" s="30" t="n">
        <x:v>0</x:v>
      </x:c>
      <x:c r="U234" s="30" t="n">
        <x:v>1</x:v>
      </x:c>
      <x:c r="V234" s="30" t="str">
        <x:v>4110</x:v>
      </x:c>
    </x:row>
    <x:row r="235">
      <x:c r="A235" s="29" t="str">
        <x:v>35210000</x:v>
      </x:c>
      <x:c r="B235" s="30" t="str">
        <x:v>EARSHOT</x:v>
      </x:c>
      <x:c r="C235" s="30" t="str">
        <x:v>Available</x:v>
      </x:c>
      <x:c r="D235" s="30" t="str">
        <x:v>GRENADE CANNON - EARSHOT (Left)</x:v>
      </x:c>
      <x:c r="E235" s="30" t="n">
        <x:v>4</x:v>
      </x:c>
      <x:c r="F235" s="30" t="n">
        <x:v>7230</x:v>
      </x:c>
      <x:c r="G235" s="30" t="n">
        <x:v>386</x:v>
      </x:c>
      <x:c r="H235" s="30" t="n">
        <x:v>0</x:v>
      </x:c>
      <x:c r="I235" s="30" t="n">
        <x:v>0</x:v>
      </x:c>
      <x:c r="J235" s="30" t="n">
        <x:v>0</x:v>
      </x:c>
      <x:c r="K235" s="30" t="n">
        <x:v>0</x:v>
      </x:c>
      <x:c r="L235" s="30" t="n">
        <x:v>0</x:v>
      </x:c>
      <x:c r="M235" s="30" t="n">
        <x:v>0</x:v>
      </x:c>
      <x:c r="N235" s="30" t="n">
        <x:v>0</x:v>
      </x:c>
      <x:c r="O235" s="30" t="n">
        <x:v>16</x:v>
      </x:c>
      <x:c r="P235" s="30" t="n">
        <x:v>9.3</x:v>
      </x:c>
      <x:c r="Q235" s="30" t="n">
        <x:v>0</x:v>
      </x:c>
      <x:c r="R235" s="30" t="n">
        <x:v>0</x:v>
      </x:c>
      <x:c r="S235" s="30" t="n">
        <x:v>0</x:v>
      </x:c>
      <x:c r="T235" s="30" t="n">
        <x:v>0</x:v>
      </x:c>
      <x:c r="U235" s="30" t="n">
        <x:v>1</x:v>
      </x:c>
      <x:c r="V235" s="30" t="str">
        <x:v>4010</x:v>
      </x:c>
    </x:row>
    <x:row r="236">
      <x:c r="A236" s="29" t="str">
        <x:v>35220000</x:v>
      </x:c>
      <x:c r="B236" s="30" t="str">
        <x:v>VE-60LCA</x:v>
      </x:c>
      <x:c r="C236" s="30" t="str">
        <x:v>Available</x:v>
      </x:c>
      <x:c r="D236" s="30" t="str">
        <x:v>LASER CANNON - VE-60LCA (Left)</x:v>
      </x:c>
      <x:c r="E236" s="30" t="n">
        <x:v>4</x:v>
      </x:c>
      <x:c r="F236" s="30" t="n">
        <x:v>14820</x:v>
      </x:c>
      <x:c r="G236" s="30" t="n">
        <x:v>1200</x:v>
      </x:c>
      <x:c r="H236" s="30" t="n">
        <x:v>0</x:v>
      </x:c>
      <x:c r="I236" s="30" t="n">
        <x:v>0</x:v>
      </x:c>
      <x:c r="J236" s="30" t="n">
        <x:v>0</x:v>
      </x:c>
      <x:c r="K236" s="30" t="n">
        <x:v>0</x:v>
      </x:c>
      <x:c r="L236" s="30" t="n">
        <x:v>0</x:v>
      </x:c>
      <x:c r="M236" s="30" t="n">
        <x:v>0</x:v>
      </x:c>
      <x:c r="N236" s="30" t="n">
        <x:v>0</x:v>
      </x:c>
      <x:c r="O236" s="30" t="n">
        <x:v>24</x:v>
      </x:c>
      <x:c r="P236" s="30" t="n">
        <x:v>0</x:v>
      </x:c>
      <x:c r="Q236" s="30" t="n">
        <x:v>0</x:v>
      </x:c>
      <x:c r="R236" s="30" t="n">
        <x:v>0</x:v>
      </x:c>
      <x:c r="S236" s="30" t="n">
        <x:v>0</x:v>
      </x:c>
      <x:c r="T236" s="30" t="n">
        <x:v>0</x:v>
      </x:c>
      <x:c r="U236" s="30" t="n">
        <x:v>1</x:v>
      </x:c>
      <x:c r="V236" s="30" t="str">
        <x:v>4710</x:v>
      </x:c>
    </x:row>
    <x:row r="237">
      <x:c r="A237" s="29" t="str">
        <x:v>35230000</x:v>
      </x:c>
      <x:c r="B237" s="30" t="str">
        <x:v>FASAN/60E</x:v>
      </x:c>
      <x:c r="C237" s="30" t="str">
        <x:v>Available</x:v>
      </x:c>
      <x:c r="D237" s="30" t="str">
        <x:v>PLASMA CANNON - FASAN/60E (Left)</x:v>
      </x:c>
      <x:c r="E237" s="30" t="n">
        <x:v>4</x:v>
      </x:c>
      <x:c r="F237" s="30" t="n">
        <x:v>6270</x:v>
      </x:c>
      <x:c r="G237" s="30" t="n">
        <x:v>882</x:v>
      </x:c>
      <x:c r="H237" s="30" t="n">
        <x:v>1</x:v>
      </x:c>
      <x:c r="I237" s="30" t="n">
        <x:v>1</x:v>
      </x:c>
      <x:c r="J237" s="30" t="n">
        <x:v>1</x:v>
      </x:c>
      <x:c r="K237" s="30" t="n">
        <x:v>1</x:v>
      </x:c>
      <x:c r="L237" s="30" t="n">
        <x:v>1</x:v>
      </x:c>
      <x:c r="M237" s="30" t="n">
        <x:v>1</x:v>
      </x:c>
      <x:c r="N237" s="30" t="n">
        <x:v>0</x:v>
      </x:c>
      <x:c r="O237" s="30" t="n">
        <x:v>39</x:v>
      </x:c>
      <x:c r="P237" s="30" t="n">
        <x:v>0</x:v>
      </x:c>
      <x:c r="Q237" s="30" t="n">
        <x:v>0</x:v>
      </x:c>
      <x:c r="R237" s="30" t="n">
        <x:v>1</x:v>
      </x:c>
      <x:c r="S237" s="30" t="n">
        <x:v>1</x:v>
      </x:c>
      <x:c r="T237" s="30" t="n">
        <x:v>1</x:v>
      </x:c>
      <x:c r="U237" s="30" t="n">
        <x:v>1</x:v>
      </x:c>
      <x:c r="V237" s="30" t="str">
        <x:v>4510</x:v>
      </x:c>
    </x:row>
    <x:row r="238">
      <x:c r="A238" s="29" t="str">
        <x:v>35240000</x:v>
      </x:c>
      <x:c r="B238" s="30" t="str">
        <x:v>KRANICH/60Z</x:v>
      </x:c>
      <x:c r="C238" s="30" t="str">
        <x:v>Available</x:v>
      </x:c>
      <x:c r="D238" s="30" t="str">
        <x:v>PULSE CANNON - KRANICH/60Z (Left)</x:v>
      </x:c>
      <x:c r="E238" s="30" t="n">
        <x:v>4</x:v>
      </x:c>
      <x:c r="F238" s="30" t="n">
        <x:v>2100</x:v>
      </x:c>
      <x:c r="G238" s="30" t="n">
        <x:v>652</x:v>
      </x:c>
      <x:c r="H238" s="30" t="n">
        <x:v>0</x:v>
      </x:c>
      <x:c r="I238" s="30" t="n">
        <x:v>0</x:v>
      </x:c>
      <x:c r="J238" s="30" t="n">
        <x:v>0</x:v>
      </x:c>
      <x:c r="K238" s="30" t="n">
        <x:v>0</x:v>
      </x:c>
      <x:c r="L238" s="30" t="n">
        <x:v>0</x:v>
      </x:c>
      <x:c r="M238" s="30" t="n">
        <x:v>0</x:v>
      </x:c>
      <x:c r="N238" s="30" t="n">
        <x:v>0</x:v>
      </x:c>
      <x:c r="O238" s="30" t="n">
        <x:v>560</x:v>
      </x:c>
      <x:c r="P238" s="30" t="n">
        <x:v>0</x:v>
      </x:c>
      <x:c r="Q238" s="30" t="n">
        <x:v>0</x:v>
      </x:c>
      <x:c r="R238" s="30" t="n">
        <x:v>0</x:v>
      </x:c>
      <x:c r="S238" s="30" t="n">
        <x:v>0</x:v>
      </x:c>
      <x:c r="T238" s="30" t="n">
        <x:v>0</x:v>
      </x:c>
      <x:c r="U238" s="30" t="n">
        <x:v>1</x:v>
      </x:c>
      <x:c r="V238" s="30" t="str">
        <x:v>4810</x:v>
      </x:c>
    </x:row>
    <x:row r="239">
      <x:c r="A239" s="29" t="str">
        <x:v>35250000</x:v>
      </x:c>
      <x:c r="B239" s="30" t="str">
        <x:v>VP-60LCS</x:v>
      </x:c>
      <x:c r="C239" s="30" t="str">
        <x:v>Available</x:v>
      </x:c>
      <x:c r="D239" s="30" t="str">
        <x:v>LASER CANNON - VP-60LCS (Left)</x:v>
      </x:c>
      <x:c r="E239" s="30" t="n">
        <x:v>4</x:v>
      </x:c>
      <x:c r="F239" s="30" t="n">
        <x:v>5190</x:v>
      </x:c>
      <x:c r="G239" s="30" t="n">
        <x:v>683</x:v>
      </x:c>
      <x:c r="H239" s="30" t="n">
        <x:v>0</x:v>
      </x:c>
      <x:c r="I239" s="30" t="n">
        <x:v>0</x:v>
      </x:c>
      <x:c r="J239" s="30" t="n">
        <x:v>0</x:v>
      </x:c>
      <x:c r="K239" s="30" t="n">
        <x:v>0</x:v>
      </x:c>
      <x:c r="L239" s="30" t="n">
        <x:v>0</x:v>
      </x:c>
      <x:c r="M239" s="30" t="n">
        <x:v>0</x:v>
      </x:c>
      <x:c r="N239" s="30" t="n">
        <x:v>0</x:v>
      </x:c>
      <x:c r="O239" s="30" t="n">
        <x:v>57</x:v>
      </x:c>
      <x:c r="P239" s="30" t="n">
        <x:v>0</x:v>
      </x:c>
      <x:c r="Q239" s="30" t="n">
        <x:v>0</x:v>
      </x:c>
      <x:c r="R239" s="30" t="n">
        <x:v>0</x:v>
      </x:c>
      <x:c r="S239" s="30" t="n">
        <x:v>0</x:v>
      </x:c>
      <x:c r="T239" s="30" t="n">
        <x:v>0</x:v>
      </x:c>
      <x:c r="U239" s="30" t="n">
        <x:v>1</x:v>
      </x:c>
      <x:c r="V239" s="30" t="str">
        <x:v>4610</x:v>
      </x:c>
    </x:row>
    <x:row r="240">
      <x:c r="A240" s="29" t="str">
        <x:v>35250100</x:v>
      </x:c>
      <x:c r="B240" s="30" t="str">
        <x:v>VE-60LCB</x:v>
      </x:c>
      <x:c r="C240" s="30" t="str">
        <x:v>Available</x:v>
      </x:c>
      <x:c r="D240" s="30" t="str">
        <x:v>LASER CANNON - VE-60LCB (Left)</x:v>
      </x:c>
      <x:c r="E240" s="30" t="n">
        <x:v>4</x:v>
      </x:c>
      <x:c r="F240" s="30" t="n">
        <x:v>9270</x:v>
      </x:c>
      <x:c r="G240" s="30" t="n">
        <x:v>803</x:v>
      </x:c>
      <x:c r="H240" s="30" t="n">
        <x:v>0</x:v>
      </x:c>
      <x:c r="I240" s="30" t="n">
        <x:v>0</x:v>
      </x:c>
      <x:c r="J240" s="30" t="n">
        <x:v>0</x:v>
      </x:c>
      <x:c r="K240" s="30" t="n">
        <x:v>0</x:v>
      </x:c>
      <x:c r="L240" s="30" t="n">
        <x:v>0</x:v>
      </x:c>
      <x:c r="M240" s="30" t="n">
        <x:v>0</x:v>
      </x:c>
      <x:c r="N240" s="30" t="n">
        <x:v>0</x:v>
      </x:c>
      <x:c r="O240" s="30" t="n">
        <x:v>32</x:v>
      </x:c>
      <x:c r="P240" s="30" t="n">
        <x:v>0</x:v>
      </x:c>
      <x:c r="Q240" s="30" t="n">
        <x:v>0</x:v>
      </x:c>
      <x:c r="R240" s="30" t="n">
        <x:v>0</x:v>
      </x:c>
      <x:c r="S240" s="30" t="n">
        <x:v>0</x:v>
      </x:c>
      <x:c r="T240" s="30" t="n">
        <x:v>0</x:v>
      </x:c>
      <x:c r="U240" s="30" t="n">
        <x:v>1</x:v>
      </x:c>
      <x:c r="V240" s="30" t="str">
        <x:v>4620</x:v>
      </x:c>
    </x:row>
    <x:row r="241">
      <x:c r="A241" s="29" t="str">
        <x:v>35260000</x:v>
      </x:c>
      <x:c r="B241" s="30" t="str">
        <x:v>VP-60LCD</x:v>
      </x:c>
      <x:c r="C241" s="30" t="str">
        <x:v>Available</x:v>
      </x:c>
      <x:c r="D241" s="30" t="str">
        <x:v>DIFFUSE LASER CANNON - VP-60LCD (Left)</x:v>
      </x:c>
      <x:c r="E241" s="30" t="n">
        <x:v>4</x:v>
      </x:c>
      <x:c r="F241" s="30" t="n">
        <x:v>7620</x:v>
      </x:c>
      <x:c r="G241" s="30" t="n">
        <x:v>784</x:v>
      </x:c>
      <x:c r="H241" s="30" t="n">
        <x:v>0</x:v>
      </x:c>
      <x:c r="I241" s="30" t="n">
        <x:v>0</x:v>
      </x:c>
      <x:c r="J241" s="30" t="n">
        <x:v>0</x:v>
      </x:c>
      <x:c r="K241" s="30" t="n">
        <x:v>0</x:v>
      </x:c>
      <x:c r="L241" s="30" t="n">
        <x:v>0</x:v>
      </x:c>
      <x:c r="M241" s="30" t="n">
        <x:v>0</x:v>
      </x:c>
      <x:c r="N241" s="30" t="n">
        <x:v>0</x:v>
      </x:c>
      <x:c r="O241" s="30" t="n">
        <x:v>54</x:v>
      </x:c>
      <x:c r="P241" s="30" t="n">
        <x:v>0</x:v>
      </x:c>
      <x:c r="Q241" s="30" t="n">
        <x:v>0</x:v>
      </x:c>
      <x:c r="R241" s="30" t="n">
        <x:v>0</x:v>
      </x:c>
      <x:c r="S241" s="30" t="n">
        <x:v>0</x:v>
      </x:c>
      <x:c r="T241" s="30" t="n">
        <x:v>0</x:v>
      </x:c>
      <x:c r="U241" s="30" t="n">
        <x:v>1</x:v>
      </x:c>
      <x:c r="V241" s="30" t="str">
        <x:v>5010</x:v>
      </x:c>
    </x:row>
    <x:row r="242">
      <x:c r="A242" s="29" t="str">
        <x:v>35270000</x:v>
      </x:c>
      <x:c r="B242" s="30" t="str">
        <x:v>VE-60SNA</x:v>
      </x:c>
      <x:c r="C242" s="30" t="str">
        <x:v>Available</x:v>
      </x:c>
      <x:c r="D242" s="30" t="str">
        <x:v>STUN NEEDLE LAUNCHER - VE-60SNA (Left)</x:v>
      </x:c>
      <x:c r="E242" s="30" t="n">
        <x:v>4</x:v>
      </x:c>
      <x:c r="F242" s="30" t="n">
        <x:v>6150</x:v>
      </x:c>
      <x:c r="G242" s="30" t="n">
        <x:v>825</x:v>
      </x:c>
      <x:c r="H242" s="30" t="n">
        <x:v>0</x:v>
      </x:c>
      <x:c r="I242" s="30" t="n">
        <x:v>0</x:v>
      </x:c>
      <x:c r="J242" s="30" t="n">
        <x:v>0</x:v>
      </x:c>
      <x:c r="K242" s="30" t="n">
        <x:v>0</x:v>
      </x:c>
      <x:c r="L242" s="30" t="n">
        <x:v>0</x:v>
      </x:c>
      <x:c r="M242" s="30" t="n">
        <x:v>0</x:v>
      </x:c>
      <x:c r="N242" s="30" t="n">
        <x:v>0</x:v>
      </x:c>
      <x:c r="O242" s="30" t="n">
        <x:v>30</x:v>
      </x:c>
      <x:c r="P242" s="30" t="n">
        <x:v>5</x:v>
      </x:c>
      <x:c r="Q242" s="30" t="n">
        <x:v>0</x:v>
      </x:c>
      <x:c r="R242" s="30" t="n">
        <x:v>0</x:v>
      </x:c>
      <x:c r="S242" s="30" t="n">
        <x:v>0</x:v>
      </x:c>
      <x:c r="T242" s="30" t="n">
        <x:v>0</x:v>
      </x:c>
      <x:c r="U242" s="30" t="n">
        <x:v>1</x:v>
      </x:c>
      <x:c r="V242" s="30" t="str">
        <x:v>4830</x:v>
      </x:c>
    </x:row>
    <x:row r="243">
      <x:c r="A243" s="29" t="str">
        <x:v>35300000</x:v>
      </x:c>
      <x:c r="B243" s="30" t="str">
        <x:v>BO-044 HUXLEY</x:v>
      </x:c>
      <x:c r="C243" s="30" t="str">
        <x:v>Available</x:v>
      </x:c>
      <x:c r="D243" s="30" t="str">
        <x:v>BULLET ORBIT - BO-044 HUXLEY (Left)</x:v>
      </x:c>
      <x:c r="E243" s="30" t="n">
        <x:v>4</x:v>
      </x:c>
      <x:c r="F243" s="30" t="n">
        <x:v>2230</x:v>
      </x:c>
      <x:c r="G243" s="30" t="n">
        <x:v>435</x:v>
      </x:c>
      <x:c r="H243" s="30" t="n">
        <x:v>0</x:v>
      </x:c>
      <x:c r="I243" s="30" t="n">
        <x:v>0</x:v>
      </x:c>
      <x:c r="J243" s="30" t="n">
        <x:v>0</x:v>
      </x:c>
      <x:c r="K243" s="30" t="n">
        <x:v>0</x:v>
      </x:c>
      <x:c r="L243" s="30" t="n">
        <x:v>0</x:v>
      </x:c>
      <x:c r="M243" s="30" t="n">
        <x:v>0</x:v>
      </x:c>
      <x:c r="N243" s="30" t="n">
        <x:v>0</x:v>
      </x:c>
      <x:c r="O243" s="30" t="n">
        <x:v>240</x:v>
      </x:c>
      <x:c r="P243" s="30" t="n">
        <x:v>5</x:v>
      </x:c>
      <x:c r="Q243" s="30" t="n">
        <x:v>0</x:v>
      </x:c>
      <x:c r="R243" s="30" t="n">
        <x:v>0</x:v>
      </x:c>
      <x:c r="S243" s="30" t="n">
        <x:v>0</x:v>
      </x:c>
      <x:c r="T243" s="30" t="n">
        <x:v>0</x:v>
      </x:c>
      <x:c r="U243" s="30" t="n">
        <x:v>1</x:v>
      </x:c>
      <x:c r="V243" s="30" t="str">
        <x:v>5710</x:v>
      </x:c>
    </x:row>
    <x:row r="244">
      <x:c r="A244" s="29" t="str">
        <x:v>35300100</x:v>
      </x:c>
      <x:c r="B244" s="30" t="str">
        <x:v>45-091 ORBT</x:v>
      </x:c>
      <x:c r="C244" s="30" t="str">
        <x:v>Available</x:v>
      </x:c>
      <x:c r="D244" s="30" t="str">
        <x:v>LASER ORBIT - 45-091 ORBT (Left)</x:v>
      </x:c>
      <x:c r="E244" s="30" t="n">
        <x:v>4</x:v>
      </x:c>
      <x:c r="F244" s="30" t="n">
        <x:v>2010</x:v>
      </x:c>
      <x:c r="G244" s="30" t="n">
        <x:v>446</x:v>
      </x:c>
      <x:c r="H244" s="30" t="n">
        <x:v>0</x:v>
      </x:c>
      <x:c r="I244" s="30" t="n">
        <x:v>0</x:v>
      </x:c>
      <x:c r="J244" s="30" t="n">
        <x:v>0</x:v>
      </x:c>
      <x:c r="K244" s="30" t="n">
        <x:v>0</x:v>
      </x:c>
      <x:c r="L244" s="30" t="n">
        <x:v>0</x:v>
      </x:c>
      <x:c r="M244" s="30" t="n">
        <x:v>0</x:v>
      </x:c>
      <x:c r="N244" s="30" t="n">
        <x:v>0</x:v>
      </x:c>
      <x:c r="O244" s="30" t="n">
        <x:v>165</x:v>
      </x:c>
      <x:c r="P244" s="30" t="n">
        <x:v>5</x:v>
      </x:c>
      <x:c r="Q244" s="30" t="n">
        <x:v>0</x:v>
      </x:c>
      <x:c r="R244" s="30" t="n">
        <x:v>0</x:v>
      </x:c>
      <x:c r="S244" s="30" t="n">
        <x:v>0</x:v>
      </x:c>
      <x:c r="T244" s="30" t="n">
        <x:v>0</x:v>
      </x:c>
      <x:c r="U244" s="30" t="n">
        <x:v>1</x:v>
      </x:c>
      <x:c r="V244" s="30" t="str">
        <x:v>5720</x:v>
      </x:c>
    </x:row>
    <x:row r="245">
      <x:c r="A245" s="29" t="str">
        <x:v>35310000</x:v>
      </x:c>
      <x:c r="B245" s="30" t="str">
        <x:v>EULE/60D</x:v>
      </x:c>
      <x:c r="C245" s="30" t="str">
        <x:v>Available</x:v>
      </x:c>
      <x:c r="D245" s="30" t="str">
        <x:v>PULSE SHIELD LAUNCHER - EULE/60D (Left)</x:v>
      </x:c>
      <x:c r="E245" s="30" t="n">
        <x:v>4</x:v>
      </x:c>
      <x:c r="F245" s="30" t="n">
        <x:v>2760</x:v>
      </x:c>
      <x:c r="G245" s="30" t="n">
        <x:v>382</x:v>
      </x:c>
      <x:c r="H245" s="30" t="n">
        <x:v>3</x:v>
      </x:c>
      <x:c r="I245" s="30" t="n">
        <x:v>0</x:v>
      </x:c>
      <x:c r="J245" s="30" t="n">
        <x:v>3</x:v>
      </x:c>
      <x:c r="K245" s="30" t="n">
        <x:v>3</x:v>
      </x:c>
      <x:c r="L245" s="30" t="n">
        <x:v>3</x:v>
      </x:c>
      <x:c r="M245" s="30" t="n">
        <x:v>0</x:v>
      </x:c>
      <x:c r="N245" s="30" t="n">
        <x:v>0</x:v>
      </x:c>
      <x:c r="O245" s="30" t="n">
        <x:v>45</x:v>
      </x:c>
      <x:c r="P245" s="30" t="n">
        <x:v>6</x:v>
      </x:c>
      <x:c r="Q245" s="30" t="n">
        <x:v>0</x:v>
      </x:c>
      <x:c r="R245" s="30" t="n">
        <x:v>0</x:v>
      </x:c>
      <x:c r="S245" s="30" t="n">
        <x:v>0</x:v>
      </x:c>
      <x:c r="T245" s="30" t="n">
        <x:v>0</x:v>
      </x:c>
      <x:c r="U245" s="30" t="n">
        <x:v>1</x:v>
      </x:c>
      <x:c r="V245" s="30" t="str">
        <x:v>4820</x:v>
      </x:c>
    </x:row>
    <x:row r="246">
      <x:c r="A246" s="29" t="str">
        <x:v>35350100</x:v>
      </x:c>
      <x:c r="B246" s="30" t="str">
        <x:v>IA-C01W3: AURORA</x:v>
      </x:c>
      <x:c r="C246" s="30" t="str">
        <x:v>Available</x:v>
      </x:c>
      <x:c r="D246" s="30" t="str">
        <x:v>LIGHT WAVE CANNON - IA-C01W3: AURORA (Left)</x:v>
      </x:c>
      <x:c r="E246" s="30" t="n">
        <x:v>4</x:v>
      </x:c>
      <x:c r="F246" s="30" t="n">
        <x:v>3330</x:v>
      </x:c>
      <x:c r="G246" s="30" t="n">
        <x:v>390</x:v>
      </x:c>
      <x:c r="H246" s="30" t="n">
        <x:v>0</x:v>
      </x:c>
      <x:c r="I246" s="30" t="n">
        <x:v>0</x:v>
      </x:c>
      <x:c r="J246" s="30" t="n">
        <x:v>0</x:v>
      </x:c>
      <x:c r="K246" s="30" t="n">
        <x:v>0</x:v>
      </x:c>
      <x:c r="L246" s="30" t="n">
        <x:v>0</x:v>
      </x:c>
      <x:c r="M246" s="30" t="n">
        <x:v>0</x:v>
      </x:c>
      <x:c r="N246" s="30" t="n">
        <x:v>0</x:v>
      </x:c>
      <x:c r="O246" s="30" t="n">
        <x:v>100</x:v>
      </x:c>
      <x:c r="P246" s="30" t="n">
        <x:v>5.5</x:v>
      </x:c>
      <x:c r="Q246" s="30" t="n">
        <x:v>0</x:v>
      </x:c>
      <x:c r="R246" s="30" t="n">
        <x:v>0</x:v>
      </x:c>
      <x:c r="S246" s="30" t="n">
        <x:v>0</x:v>
      </x:c>
      <x:c r="T246" s="30" t="n">
        <x:v>0</x:v>
      </x:c>
      <x:c r="U246" s="30" t="n">
        <x:v>1</x:v>
      </x:c>
      <x:c r="V246" s="30" t="str">
        <x:v>4350</x:v>
      </x:c>
    </x:row>
    <x:row r="247">
      <x:c r="A247" s="29" t="str">
        <x:v>35400000</x:v>
      </x:c>
      <x:c r="B247" s="30" t="str">
        <x:v>DF-GA-09 SHAO-WEI</x:v>
      </x:c>
      <x:c r="C247" s="30" t="str">
        <x:v>Available</x:v>
      </x:c>
      <x:c r="D247" s="30" t="str">
        <x:v>GATLING CANNON - DF-GA-09 SHAO-WEI (Left)</x:v>
      </x:c>
      <x:c r="E247" s="30" t="n">
        <x:v>4</x:v>
      </x:c>
      <x:c r="F247" s="30" t="n">
        <x:v>3960</x:v>
      </x:c>
      <x:c r="G247" s="30" t="n">
        <x:v>404</x:v>
      </x:c>
      <x:c r="H247" s="30" t="n">
        <x:v>0</x:v>
      </x:c>
      <x:c r="I247" s="30" t="n">
        <x:v>0</x:v>
      </x:c>
      <x:c r="J247" s="30" t="n">
        <x:v>0</x:v>
      </x:c>
      <x:c r="K247" s="30" t="n">
        <x:v>0</x:v>
      </x:c>
      <x:c r="L247" s="30" t="n">
        <x:v>0</x:v>
      </x:c>
      <x:c r="M247" s="30" t="n">
        <x:v>0</x:v>
      </x:c>
      <x:c r="N247" s="30" t="n">
        <x:v>0</x:v>
      </x:c>
      <x:c r="O247" s="30" t="n">
        <x:v>800</x:v>
      </x:c>
      <x:c r="P247" s="30" t="n">
        <x:v>0</x:v>
      </x:c>
      <x:c r="Q247" s="30" t="n">
        <x:v>0</x:v>
      </x:c>
      <x:c r="R247" s="30" t="n">
        <x:v>0</x:v>
      </x:c>
      <x:c r="S247" s="30" t="n">
        <x:v>0</x:v>
      </x:c>
      <x:c r="T247" s="30" t="n">
        <x:v>0</x:v>
      </x:c>
      <x:c r="U247" s="30" t="n">
        <x:v>1</x:v>
      </x:c>
      <x:c r="V247" s="30" t="str">
        <x:v>5110</x:v>
      </x:c>
    </x:row>
    <x:row r="248">
      <x:c r="A248" s="29" t="str">
        <x:v>75000000</x:v>
      </x:c>
      <x:c r="B248" s="30" t="str">
        <x:v>ASSAULT ARMOR</x:v>
      </x:c>
      <x:c r="C248" s="30" t="str">
        <x:v>Available</x:v>
      </x:c>
      <x:c r="D248" s="30" t="str">
        <x:v>EXPANSION - ASSAULT ARMOR</x:v>
      </x:c>
      <x:c r="E248" s="30" t="n">
        <x:v>7</x:v>
      </x:c>
      <x:c r="F248" s="30" t="n">
        <x:v>0</x:v>
      </x:c>
      <x:c r="G248" s="30" t="n">
        <x:v>0</x:v>
      </x:c>
      <x:c r="H248" s="30" t="n">
        <x:v>1</x:v>
      </x:c>
      <x:c r="I248" s="30" t="n">
        <x:v>1</x:v>
      </x:c>
      <x:c r="J248" s="30" t="n">
        <x:v>1</x:v>
      </x:c>
      <x:c r="K248" s="30" t="n">
        <x:v>1</x:v>
      </x:c>
      <x:c r="L248" s="30" t="n">
        <x:v>1</x:v>
      </x:c>
      <x:c r="M248" s="30" t="n">
        <x:v>1</x:v>
      </x:c>
      <x:c r="N248" s="30" t="n">
        <x:v>1</x:v>
      </x:c>
      <x:c r="O248" s="30" t="n">
        <x:v>1</x:v>
      </x:c>
      <x:c r="P248" s="30" t="n">
        <x:v>0</x:v>
      </x:c>
      <x:c r="Q248" s="30" t="n">
        <x:v>0</x:v>
      </x:c>
      <x:c r="R248" s="30" t="n">
        <x:v>0</x:v>
      </x:c>
      <x:c r="S248" s="30" t="n">
        <x:v>0</x:v>
      </x:c>
      <x:c r="T248" s="30" t="n">
        <x:v>0</x:v>
      </x:c>
      <x:c r="U248" s="30" t="n">
        <x:v>1</x:v>
      </x:c>
      <x:c r="V248" s="30" t="str">
        <x:v>9013</x:v>
      </x:c>
    </x:row>
    <x:row r="249">
      <x:c r="A249" s="29" t="str">
        <x:v>75010000</x:v>
      </x:c>
      <x:c r="B249" s="30" t="str">
        <x:v>PULSE ARMOR</x:v>
      </x:c>
      <x:c r="C249" s="30" t="str">
        <x:v>Available</x:v>
      </x:c>
      <x:c r="D249" s="30" t="str">
        <x:v>EXPANSION - PULSE ARMOR</x:v>
      </x:c>
      <x:c r="E249" s="30" t="n">
        <x:v>7</x:v>
      </x:c>
      <x:c r="F249" s="30" t="n">
        <x:v>0</x:v>
      </x:c>
      <x:c r="G249" s="30" t="n">
        <x:v>0</x:v>
      </x:c>
      <x:c r="H249" s="30" t="n">
        <x:v>0</x:v>
      </x:c>
      <x:c r="I249" s="30" t="n">
        <x:v>0</x:v>
      </x:c>
      <x:c r="J249" s="30" t="n">
        <x:v>0</x:v>
      </x:c>
      <x:c r="K249" s="30" t="n">
        <x:v>0</x:v>
      </x:c>
      <x:c r="L249" s="30" t="n">
        <x:v>0</x:v>
      </x:c>
      <x:c r="M249" s="30" t="n">
        <x:v>0</x:v>
      </x:c>
      <x:c r="N249" s="30" t="n">
        <x:v>0</x:v>
      </x:c>
      <x:c r="O249" s="30" t="n">
        <x:v>1</x:v>
      </x:c>
      <x:c r="P249" s="30" t="n">
        <x:v>0</x:v>
      </x:c>
      <x:c r="Q249" s="30" t="n">
        <x:v>0</x:v>
      </x:c>
      <x:c r="R249" s="30" t="n">
        <x:v>0</x:v>
      </x:c>
      <x:c r="S249" s="30" t="n">
        <x:v>0</x:v>
      </x:c>
      <x:c r="T249" s="30" t="n">
        <x:v>0</x:v>
      </x:c>
      <x:c r="U249" s="30" t="n">
        <x:v>1</x:v>
      </x:c>
      <x:c r="V249" s="30" t="str">
        <x:v>9012</x:v>
      </x:c>
    </x:row>
    <x:row r="250">
      <x:c r="A250" s="29" t="str">
        <x:v>75020000</x:v>
      </x:c>
      <x:c r="B250" s="30" t="str">
        <x:v>PULSE PROTECTION</x:v>
      </x:c>
      <x:c r="C250" s="30" t="str">
        <x:v>Available</x:v>
      </x:c>
      <x:c r="D250" s="30" t="str">
        <x:v>EXPANSION - PULSE PROTECTION</x:v>
      </x:c>
      <x:c r="E250" s="30" t="n">
        <x:v>7</x:v>
      </x:c>
      <x:c r="F250" s="30" t="n">
        <x:v>0</x:v>
      </x:c>
      <x:c r="G250" s="30" t="n">
        <x:v>0</x:v>
      </x:c>
      <x:c r="H250" s="30" t="n">
        <x:v>0</x:v>
      </x:c>
      <x:c r="I250" s="30" t="n">
        <x:v>0</x:v>
      </x:c>
      <x:c r="J250" s="30" t="n">
        <x:v>0</x:v>
      </x:c>
      <x:c r="K250" s="30" t="n">
        <x:v>0</x:v>
      </x:c>
      <x:c r="L250" s="30" t="n">
        <x:v>0</x:v>
      </x:c>
      <x:c r="M250" s="30" t="n">
        <x:v>0</x:v>
      </x:c>
      <x:c r="N250" s="30" t="n">
        <x:v>0</x:v>
      </x:c>
      <x:c r="O250" s="30" t="n">
        <x:v>1</x:v>
      </x:c>
      <x:c r="P250" s="30" t="n">
        <x:v>0</x:v>
      </x:c>
      <x:c r="Q250" s="30" t="n">
        <x:v>0</x:v>
      </x:c>
      <x:c r="R250" s="30" t="n">
        <x:v>0</x:v>
      </x:c>
      <x:c r="S250" s="30" t="n">
        <x:v>0</x:v>
      </x:c>
      <x:c r="T250" s="30" t="n">
        <x:v>0</x:v>
      </x:c>
      <x:c r="U250" s="30" t="n">
        <x:v>1</x:v>
      </x:c>
      <x:c r="V250" s="30" t="str">
        <x:v>9011</x:v>
      </x:c>
    </x:row>
    <x:row r="251">
      <x:c r="A251" s="31" t="str">
        <x:v>75030000</x:v>
      </x:c>
      <x:c r="B251" s="32" t="str">
        <x:v>TERMINAL ARMOR</x:v>
      </x:c>
      <x:c r="C251" s="32" t="str">
        <x:v>Available</x:v>
      </x:c>
      <x:c r="D251" s="32" t="str">
        <x:v>EXPANSION - TERMINAL ARMOR</x:v>
      </x:c>
      <x:c r="E251" s="32" t="n">
        <x:v>7</x:v>
      </x:c>
      <x:c r="F251" s="32" t="n">
        <x:v>0</x:v>
      </x:c>
      <x:c r="G251" s="32" t="n">
        <x:v>0</x:v>
      </x:c>
      <x:c r="H251" s="32" t="n">
        <x:v>0</x:v>
      </x:c>
      <x:c r="I251" s="32" t="n">
        <x:v>0</x:v>
      </x:c>
      <x:c r="J251" s="32" t="n">
        <x:v>0</x:v>
      </x:c>
      <x:c r="K251" s="32" t="n">
        <x:v>0</x:v>
      </x:c>
      <x:c r="L251" s="32" t="n">
        <x:v>0</x:v>
      </x:c>
      <x:c r="M251" s="32" t="n">
        <x:v>0</x:v>
      </x:c>
      <x:c r="N251" s="32" t="n">
        <x:v>0</x:v>
      </x:c>
      <x:c r="O251" s="32" t="n">
        <x:v>1</x:v>
      </x:c>
      <x:c r="P251" s="32" t="n">
        <x:v>0</x:v>
      </x:c>
      <x:c r="Q251" s="32" t="n">
        <x:v>0</x:v>
      </x:c>
      <x:c r="R251" s="32" t="n">
        <x:v>0</x:v>
      </x:c>
      <x:c r="S251" s="32" t="n">
        <x:v>0</x:v>
      </x:c>
      <x:c r="T251" s="32" t="n">
        <x:v>0</x:v>
      </x:c>
      <x:c r="U251" s="32" t="n">
        <x:v>1</x:v>
      </x:c>
      <x:c r="V251" s="32" t="str">
        <x:v>9010</x:v>
      </x:c>
    </x:row>
    <x:row r="252">
      <x:c r="A252" s="25"/>
      <x:c r="B252" s="25"/>
      <x:c r="C252" s="25"/>
      <x:c r="D252" s="25"/>
      <x:c r="E252" s="25"/>
      <x:c r="F252" s="25"/>
      <x:c r="G252" s="25"/>
      <x:c r="H252" s="25"/>
      <x:c r="I252" s="25"/>
      <x:c r="J252" s="25"/>
      <x:c r="K252" s="25"/>
      <x:c r="L252" s="25"/>
      <x:c r="M252" s="25"/>
      <x:c r="N252" s="25"/>
      <x:c r="O252" s="25"/>
      <x:c r="P252" s="25"/>
      <x:c r="Q252" s="25"/>
      <x:c r="R252" s="25"/>
      <x:c r="S252" s="25"/>
      <x:c r="T252" s="25"/>
      <x:c r="U252" s="25"/>
      <x:c r="V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  <x:c r="I253" s="25"/>
      <x:c r="J253" s="25"/>
      <x:c r="K253" s="25"/>
      <x:c r="L253" s="25"/>
      <x:c r="M253" s="25"/>
      <x:c r="N253" s="25"/>
      <x:c r="O253" s="25"/>
      <x:c r="P253" s="25"/>
      <x:c r="Q253" s="25"/>
      <x:c r="R253" s="25"/>
      <x:c r="S253" s="25"/>
      <x:c r="T253" s="25"/>
      <x:c r="U253" s="25"/>
      <x:c r="V253" s="25"/>
    </x:row>
    <x:row r="254" ht="25" customHeight="1">
      <x:c r="A254" s="23" t="str">
        <x:v>Armor — Head  •  23 parts</x:v>
      </x:c>
      <x:c r="B254" s="23"/>
      <x:c r="C254" s="23"/>
      <x:c r="D254" s="23"/>
      <x:c r="E254" s="23"/>
      <x:c r="F254" s="23"/>
      <x:c r="G254" s="23"/>
      <x:c r="H254" s="23"/>
      <x:c r="I254" s="23"/>
      <x:c r="J254" s="23"/>
      <x:c r="K254" s="23"/>
      <x:c r="L254" s="23"/>
      <x:c r="M254" s="23"/>
      <x:c r="N254" s="23"/>
      <x:c r="O254" s="23"/>
      <x:c r="P254" s="25"/>
      <x:c r="Q254" s="25"/>
      <x:c r="R254" s="25"/>
      <x:c r="S254" s="25"/>
      <x:c r="T254" s="25"/>
      <x:c r="U254" s="25"/>
      <x:c r="V254" s="25"/>
    </x:row>
    <x:row r="255" ht="32" customHeight="1">
      <x:c r="A255" s="26" t="str">
        <x:v>ID</x:v>
      </x:c>
      <x:c r="B255" s="26" t="str">
        <x:v>Part Name</x:v>
      </x:c>
      <x:c r="C255" s="26" t="str">
        <x:v>Data Status</x:v>
      </x:c>
      <x:c r="D255" s="26" t="str">
        <x:v>Internal Label</x:v>
      </x:c>
      <x:c r="E255" s="26" t="str">
        <x:v>AP</x:v>
      </x:c>
      <x:c r="F255" s="26" t="str">
        <x:v>Weight</x:v>
      </x:c>
      <x:c r="G255" s="26" t="str">
        <x:v>EN Load</x:v>
      </x:c>
      <x:c r="H255" s="26" t="str">
        <x:v>Kinetic Defense</x:v>
      </x:c>
      <x:c r="I255" s="26" t="str">
        <x:v>Energy Defense</x:v>
      </x:c>
      <x:c r="J255" s="26" t="str">
        <x:v>Explosive Defense</x:v>
      </x:c>
      <x:c r="K255" s="26" t="str">
        <x:v>Attitude Stability</x:v>
      </x:c>
      <x:c r="L255" s="26" t="str">
        <x:v>System Recovery</x:v>
      </x:c>
      <x:c r="M255" s="26" t="str">
        <x:v>Scan Distance</x:v>
      </x:c>
      <x:c r="N255" s="26" t="str">
        <x:v>Scan Duration</x:v>
      </x:c>
      <x:c r="O255" s="26" t="str">
        <x:v>Model ID</x:v>
      </x:c>
      <x:c r="P255" s="25"/>
      <x:c r="Q255" s="25"/>
      <x:c r="R255" s="25"/>
      <x:c r="S255" s="25"/>
      <x:c r="T255" s="25"/>
      <x:c r="U255" s="25"/>
      <x:c r="V255" s="25"/>
    </x:row>
    <x:row r="256">
      <x:c r="A256" s="27" t="str">
        <x:v>50000000</x:v>
      </x:c>
      <x:c r="B256" s="28" t="str">
        <x:v>HD-011 MELANDER</x:v>
      </x:c>
      <x:c r="C256" s="28" t="str">
        <x:v>Available</x:v>
      </x:c>
      <x:c r="D256" s="28" t="str">
        <x:v>HEAD - HD-011 MELANDER</x:v>
      </x:c>
      <x:c r="E256" s="28" t="n">
        <x:v>1010</x:v>
      </x:c>
      <x:c r="F256" s="28" t="n">
        <x:v>3160</x:v>
      </x:c>
      <x:c r="G256" s="28" t="n">
        <x:v>135</x:v>
      </x:c>
      <x:c r="H256" s="28" t="n">
        <x:v>250</x:v>
      </x:c>
      <x:c r="I256" s="28" t="n">
        <x:v>150</x:v>
      </x:c>
      <x:c r="J256" s="28" t="n">
        <x:v>2</x:v>
      </x:c>
      <x:c r="K256" s="28" t="n">
        <x:v>430</x:v>
      </x:c>
      <x:c r="L256" s="28" t="n">
        <x:v>100</x:v>
      </x:c>
      <x:c r="M256" s="28" t="n">
        <x:v>380</x:v>
      </x:c>
      <x:c r="N256" s="28" t="n">
        <x:v>4.8</x:v>
      </x:c>
      <x:c r="O256" s="28" t="str">
        <x:v>1010</x:v>
      </x:c>
      <x:c r="P256" s="25"/>
      <x:c r="Q256" s="25"/>
      <x:c r="R256" s="25"/>
      <x:c r="S256" s="25"/>
      <x:c r="T256" s="25"/>
      <x:c r="U256" s="25"/>
      <x:c r="V256" s="25"/>
    </x:row>
    <x:row r="257">
      <x:c r="A257" s="29" t="str">
        <x:v>50000100</x:v>
      </x:c>
      <x:c r="B257" s="30" t="str">
        <x:v>HS-5000 APPETIZER</x:v>
      </x:c>
      <x:c r="C257" s="30" t="str">
        <x:v>Available</x:v>
      </x:c>
      <x:c r="D257" s="30" t="str">
        <x:v>HEAD - HS-5000 APPETIZER</x:v>
      </x:c>
      <x:c r="E257" s="30" t="n">
        <x:v>950</x:v>
      </x:c>
      <x:c r="F257" s="30" t="n">
        <x:v>3000</x:v>
      </x:c>
      <x:c r="G257" s="30" t="n">
        <x:v>103</x:v>
      </x:c>
      <x:c r="H257" s="30" t="n">
        <x:v>250</x:v>
      </x:c>
      <x:c r="I257" s="30" t="n">
        <x:v>150</x:v>
      </x:c>
      <x:c r="J257" s="30" t="n">
        <x:v>2.6</x:v>
      </x:c>
      <x:c r="K257" s="30" t="n">
        <x:v>418</x:v>
      </x:c>
      <x:c r="L257" s="30" t="n">
        <x:v>100</x:v>
      </x:c>
      <x:c r="M257" s="30" t="n">
        <x:v>610</x:v>
      </x:c>
      <x:c r="N257" s="30" t="n">
        <x:v>6</x:v>
      </x:c>
      <x:c r="O257" s="30" t="str">
        <x:v>1080</x:v>
      </x:c>
      <x:c r="P257" s="25"/>
      <x:c r="Q257" s="25"/>
      <x:c r="R257" s="25"/>
      <x:c r="S257" s="25"/>
      <x:c r="T257" s="25"/>
      <x:c r="U257" s="25"/>
      <x:c r="V257" s="25"/>
    </x:row>
    <x:row r="258">
      <x:c r="A258" s="29" t="str">
        <x:v>50000200</x:v>
      </x:c>
      <x:c r="B258" s="30" t="str">
        <x:v>HD-033M VERRILL</x:v>
      </x:c>
      <x:c r="C258" s="30" t="str">
        <x:v>Available</x:v>
      </x:c>
      <x:c r="D258" s="30" t="str">
        <x:v>HEAD - HD-033M VERRILL</x:v>
      </x:c>
      <x:c r="E258" s="30" t="n">
        <x:v>1080</x:v>
      </x:c>
      <x:c r="F258" s="30" t="n">
        <x:v>3830</x:v>
      </x:c>
      <x:c r="G258" s="30" t="n">
        <x:v>240</x:v>
      </x:c>
      <x:c r="H258" s="30" t="n">
        <x:v>250</x:v>
      </x:c>
      <x:c r="I258" s="30" t="n">
        <x:v>150</x:v>
      </x:c>
      <x:c r="J258" s="30" t="n">
        <x:v>3.5</x:v>
      </x:c>
      <x:c r="K258" s="30" t="n">
        <x:v>469</x:v>
      </x:c>
      <x:c r="L258" s="30" t="n">
        <x:v>100</x:v>
      </x:c>
      <x:c r="M258" s="30" t="n">
        <x:v>510</x:v>
      </x:c>
      <x:c r="N258" s="30" t="n">
        <x:v>7.8</x:v>
      </x:c>
      <x:c r="O258" s="30" t="str">
        <x:v>1110</x:v>
      </x:c>
      <x:c r="P258" s="25"/>
      <x:c r="Q258" s="25"/>
      <x:c r="R258" s="25"/>
      <x:c r="S258" s="25"/>
      <x:c r="T258" s="25"/>
      <x:c r="U258" s="25"/>
      <x:c r="V258" s="25"/>
    </x:row>
    <x:row r="259">
      <x:c r="A259" s="29" t="str">
        <x:v>50000300</x:v>
      </x:c>
      <x:c r="B259" s="30" t="str">
        <x:v>HD-012 MELANDER C3</x:v>
      </x:c>
      <x:c r="C259" s="30" t="str">
        <x:v>Available</x:v>
      </x:c>
      <x:c r="D259" s="30" t="str">
        <x:v>HEAD - HD-012 MELANDER C3</x:v>
      </x:c>
      <x:c r="E259" s="30" t="n">
        <x:v>1070</x:v>
      </x:c>
      <x:c r="F259" s="30" t="n">
        <x:v>3300</x:v>
      </x:c>
      <x:c r="G259" s="30" t="n">
        <x:v>165</x:v>
      </x:c>
      <x:c r="H259" s="30" t="n">
        <x:v>250</x:v>
      </x:c>
      <x:c r="I259" s="30" t="n">
        <x:v>150</x:v>
      </x:c>
      <x:c r="J259" s="30" t="n">
        <x:v>1.9</x:v>
      </x:c>
      <x:c r="K259" s="30" t="n">
        <x:v>436</x:v>
      </x:c>
      <x:c r="L259" s="30" t="n">
        <x:v>100</x:v>
      </x:c>
      <x:c r="M259" s="30" t="n">
        <x:v>580</x:v>
      </x:c>
      <x:c r="N259" s="30" t="n">
        <x:v>12</x:v>
      </x:c>
      <x:c r="O259" s="30" t="str">
        <x:v>1011</x:v>
      </x:c>
      <x:c r="P259" s="25"/>
      <x:c r="Q259" s="25"/>
      <x:c r="R259" s="25"/>
      <x:c r="S259" s="25"/>
      <x:c r="T259" s="25"/>
      <x:c r="U259" s="25"/>
      <x:c r="V259" s="25"/>
    </x:row>
    <x:row r="260">
      <x:c r="A260" s="29" t="str">
        <x:v>50010000</x:v>
      </x:c>
      <x:c r="B260" s="30" t="str">
        <x:v>DF-HD-08 TIAN-QIANG</x:v>
      </x:c>
      <x:c r="C260" s="30" t="str">
        <x:v>Available</x:v>
      </x:c>
      <x:c r="D260" s="30" t="str">
        <x:v>HEAD - DF-HD-08 TIAN-QIANG</x:v>
      </x:c>
      <x:c r="E260" s="30" t="n">
        <x:v>420</x:v>
      </x:c>
      <x:c r="F260" s="30" t="n">
        <x:v>1230</x:v>
      </x:c>
      <x:c r="G260" s="30" t="n">
        <x:v>88</x:v>
      </x:c>
      <x:c r="H260" s="30" t="n">
        <x:v>250</x:v>
      </x:c>
      <x:c r="I260" s="30" t="n">
        <x:v>150</x:v>
      </x:c>
      <x:c r="J260" s="30" t="n">
        <x:v>3.4</x:v>
      </x:c>
      <x:c r="K260" s="30" t="n">
        <x:v>267</x:v>
      </x:c>
      <x:c r="L260" s="30" t="n">
        <x:v>100</x:v>
      </x:c>
      <x:c r="M260" s="30" t="n">
        <x:v>300</x:v>
      </x:c>
      <x:c r="N260" s="30" t="n">
        <x:v>7</x:v>
      </x:c>
      <x:c r="O260" s="30" t="str">
        <x:v>2010</x:v>
      </x:c>
      <x:c r="P260" s="25"/>
      <x:c r="Q260" s="25"/>
      <x:c r="R260" s="25"/>
      <x:c r="S260" s="25"/>
      <x:c r="T260" s="25"/>
      <x:c r="U260" s="25"/>
      <x:c r="V260" s="25"/>
    </x:row>
    <x:row r="261">
      <x:c r="A261" s="29" t="str">
        <x:v>50020000</x:v>
      </x:c>
      <x:c r="B261" s="30" t="str">
        <x:v>NACHTREIHER/44E</x:v>
      </x:c>
      <x:c r="C261" s="30" t="str">
        <x:v>Available</x:v>
      </x:c>
      <x:c r="D261" s="30" t="str">
        <x:v>HEAD - NACHTREIHER/44E</x:v>
      </x:c>
      <x:c r="E261" s="30" t="n">
        <x:v>590</x:v>
      </x:c>
      <x:c r="F261" s="30" t="n">
        <x:v>2120</x:v>
      </x:c>
      <x:c r="G261" s="30" t="n">
        <x:v>210</x:v>
      </x:c>
      <x:c r="H261" s="30" t="n">
        <x:v>250</x:v>
      </x:c>
      <x:c r="I261" s="30" t="n">
        <x:v>150</x:v>
      </x:c>
      <x:c r="J261" s="30" t="n">
        <x:v>0.2</x:v>
      </x:c>
      <x:c r="K261" s="30" t="n">
        <x:v>463</x:v>
      </x:c>
      <x:c r="L261" s="30" t="n">
        <x:v>100</x:v>
      </x:c>
      <x:c r="M261" s="30" t="n">
        <x:v>420</x:v>
      </x:c>
      <x:c r="N261" s="30" t="n">
        <x:v>13.2</x:v>
      </x:c>
      <x:c r="O261" s="30" t="str">
        <x:v>3010</x:v>
      </x:c>
      <x:c r="P261" s="25"/>
      <x:c r="Q261" s="25"/>
      <x:c r="R261" s="25"/>
      <x:c r="S261" s="25"/>
      <x:c r="T261" s="25"/>
      <x:c r="U261" s="25"/>
      <x:c r="V261" s="25"/>
    </x:row>
    <x:row r="262">
      <x:c r="A262" s="29" t="str">
        <x:v>50020100</x:v>
      </x:c>
      <x:c r="B262" s="30" t="str">
        <x:v>KASUAR/44Z</x:v>
      </x:c>
      <x:c r="C262" s="30" t="str">
        <x:v>Available</x:v>
      </x:c>
      <x:c r="D262" s="30" t="str">
        <x:v>HEAD - KASUAR/44Z</x:v>
      </x:c>
      <x:c r="E262" s="30" t="n">
        <x:v>480</x:v>
      </x:c>
      <x:c r="F262" s="30" t="n">
        <x:v>2590</x:v>
      </x:c>
      <x:c r="G262" s="30" t="n">
        <x:v>254</x:v>
      </x:c>
      <x:c r="H262" s="30" t="n">
        <x:v>250</x:v>
      </x:c>
      <x:c r="I262" s="30" t="n">
        <x:v>150</x:v>
      </x:c>
      <x:c r="J262" s="30" t="n">
        <x:v>0.1</x:v>
      </x:c>
      <x:c r="K262" s="30" t="n">
        <x:v>498</x:v>
      </x:c>
      <x:c r="L262" s="30" t="n">
        <x:v>100</x:v>
      </x:c>
      <x:c r="M262" s="30" t="n">
        <x:v>620</x:v>
      </x:c>
      <x:c r="N262" s="30" t="n">
        <x:v>5.4</x:v>
      </x:c>
      <x:c r="O262" s="30" t="str">
        <x:v>3110</x:v>
      </x:c>
      <x:c r="P262" s="25"/>
      <x:c r="Q262" s="25"/>
      <x:c r="R262" s="25"/>
      <x:c r="S262" s="25"/>
      <x:c r="T262" s="25"/>
      <x:c r="U262" s="25"/>
      <x:c r="V262" s="25"/>
    </x:row>
    <x:row r="263">
      <x:c r="A263" s="29" t="str">
        <x:v>50030000</x:v>
      </x:c>
      <x:c r="B263" s="30" t="str">
        <x:v>VP-44S</x:v>
      </x:c>
      <x:c r="C263" s="30" t="str">
        <x:v>Available</x:v>
      </x:c>
      <x:c r="D263" s="30" t="str">
        <x:v>HEAD - VP-44S</x:v>
      </x:c>
      <x:c r="E263" s="30" t="n">
        <x:v>850</x:v>
      </x:c>
      <x:c r="F263" s="30" t="n">
        <x:v>3080</x:v>
      </x:c>
      <x:c r="G263" s="30" t="n">
        <x:v>148</x:v>
      </x:c>
      <x:c r="H263" s="30" t="n">
        <x:v>250</x:v>
      </x:c>
      <x:c r="I263" s="30" t="n">
        <x:v>150</x:v>
      </x:c>
      <x:c r="J263" s="30" t="n">
        <x:v>1.8</x:v>
      </x:c>
      <x:c r="K263" s="30" t="n">
        <x:v>432</x:v>
      </x:c>
      <x:c r="L263" s="30" t="n">
        <x:v>100</x:v>
      </x:c>
      <x:c r="M263" s="30" t="n">
        <x:v>520</x:v>
      </x:c>
      <x:c r="N263" s="30" t="n">
        <x:v>7.2</x:v>
      </x:c>
      <x:c r="O263" s="30" t="str">
        <x:v>4010</x:v>
      </x:c>
      <x:c r="P263" s="25"/>
      <x:c r="Q263" s="25"/>
      <x:c r="R263" s="25"/>
      <x:c r="S263" s="25"/>
      <x:c r="T263" s="25"/>
      <x:c r="U263" s="25"/>
      <x:c r="V263" s="25"/>
    </x:row>
    <x:row r="264">
      <x:c r="A264" s="29" t="str">
        <x:v>50030100</x:v>
      </x:c>
      <x:c r="B264" s="30" t="str">
        <x:v>VP-44D</x:v>
      </x:c>
      <x:c r="C264" s="30" t="str">
        <x:v>Available</x:v>
      </x:c>
      <x:c r="D264" s="30" t="str">
        <x:v>HEAD - VP-44D</x:v>
      </x:c>
      <x:c r="E264" s="30" t="n">
        <x:v>880</x:v>
      </x:c>
      <x:c r="F264" s="30" t="n">
        <x:v>3260</x:v>
      </x:c>
      <x:c r="G264" s="30" t="n">
        <x:v>177</x:v>
      </x:c>
      <x:c r="H264" s="30" t="n">
        <x:v>250</x:v>
      </x:c>
      <x:c r="I264" s="30" t="n">
        <x:v>150</x:v>
      </x:c>
      <x:c r="J264" s="30" t="n">
        <x:v>2.2</x:v>
      </x:c>
      <x:c r="K264" s="30" t="n">
        <x:v>496</x:v>
      </x:c>
      <x:c r="L264" s="30" t="n">
        <x:v>100</x:v>
      </x:c>
      <x:c r="M264" s="30" t="n">
        <x:v>530</x:v>
      </x:c>
      <x:c r="N264" s="30" t="n">
        <x:v>14.4</x:v>
      </x:c>
      <x:c r="O264" s="30" t="str">
        <x:v>4110</x:v>
      </x:c>
      <x:c r="P264" s="25"/>
      <x:c r="Q264" s="25"/>
      <x:c r="R264" s="25"/>
      <x:c r="S264" s="25"/>
      <x:c r="T264" s="25"/>
      <x:c r="U264" s="25"/>
      <x:c r="V264" s="25"/>
    </x:row>
    <x:row r="265">
      <x:c r="A265" s="29" t="str">
        <x:v>50040000</x:v>
      </x:c>
      <x:c r="B265" s="30" t="str">
        <x:v>VE-44A</x:v>
      </x:c>
      <x:c r="C265" s="30" t="str">
        <x:v>Available</x:v>
      </x:c>
      <x:c r="D265" s="30" t="str">
        <x:v>HEAD - VE-44A</x:v>
      </x:c>
      <x:c r="E265" s="30" t="n">
        <x:v>1060</x:v>
      </x:c>
      <x:c r="F265" s="30" t="n">
        <x:v>3640</x:v>
      </x:c>
      <x:c r="G265" s="30" t="n">
        <x:v>182</x:v>
      </x:c>
      <x:c r="H265" s="30" t="n">
        <x:v>250</x:v>
      </x:c>
      <x:c r="I265" s="30" t="n">
        <x:v>150</x:v>
      </x:c>
      <x:c r="J265" s="30" t="n">
        <x:v>2.8</x:v>
      </x:c>
      <x:c r="K265" s="30" t="n">
        <x:v>423</x:v>
      </x:c>
      <x:c r="L265" s="30" t="n">
        <x:v>100</x:v>
      </x:c>
      <x:c r="M265" s="30" t="n">
        <x:v>490</x:v>
      </x:c>
      <x:c r="N265" s="30" t="n">
        <x:v>12.6</x:v>
      </x:c>
      <x:c r="O265" s="30" t="str">
        <x:v>5010</x:v>
      </x:c>
      <x:c r="P265" s="25"/>
      <x:c r="Q265" s="25"/>
      <x:c r="R265" s="25"/>
      <x:c r="S265" s="25"/>
      <x:c r="T265" s="25"/>
      <x:c r="U265" s="25"/>
      <x:c r="V265" s="25"/>
    </x:row>
    <x:row r="266">
      <x:c r="A266" s="29" t="str">
        <x:v>50040100</x:v>
      </x:c>
      <x:c r="B266" s="30" t="str">
        <x:v>VE-44B</x:v>
      </x:c>
      <x:c r="C266" s="30" t="str">
        <x:v>Available</x:v>
      </x:c>
      <x:c r="D266" s="30" t="str">
        <x:v>HEAD - VE-44B</x:v>
      </x:c>
      <x:c r="E266" s="30" t="n">
        <x:v>1040</x:v>
      </x:c>
      <x:c r="F266" s="30" t="n">
        <x:v>4320</x:v>
      </x:c>
      <x:c r="G266" s="30" t="n">
        <x:v>265</x:v>
      </x:c>
      <x:c r="H266" s="30" t="n">
        <x:v>250</x:v>
      </x:c>
      <x:c r="I266" s="30" t="n">
        <x:v>150</x:v>
      </x:c>
      <x:c r="J266" s="30" t="n">
        <x:v>1.6</x:v>
      </x:c>
      <x:c r="K266" s="30" t="n">
        <x:v>450</x:v>
      </x:c>
      <x:c r="L266" s="30" t="n">
        <x:v>100</x:v>
      </x:c>
      <x:c r="M266" s="30" t="n">
        <x:v>700</x:v>
      </x:c>
      <x:c r="N266" s="30" t="n">
        <x:v>18</x:v>
      </x:c>
      <x:c r="O266" s="30" t="str">
        <x:v>5110</x:v>
      </x:c>
      <x:c r="P266" s="25"/>
      <x:c r="Q266" s="25"/>
      <x:c r="R266" s="25"/>
      <x:c r="S266" s="25"/>
      <x:c r="T266" s="25"/>
      <x:c r="U266" s="25"/>
      <x:c r="V266" s="25"/>
    </x:row>
    <x:row r="267">
      <x:c r="A267" s="29" t="str">
        <x:v>50050000</x:v>
      </x:c>
      <x:c r="B267" s="30" t="str">
        <x:v>20-081 MIND ALPHA</x:v>
      </x:c>
      <x:c r="C267" s="30" t="str">
        <x:v>Available</x:v>
      </x:c>
      <x:c r="D267" s="30" t="str">
        <x:v>HEAD - 20-081 MIND ALPHA</x:v>
      </x:c>
      <x:c r="E267" s="30" t="n">
        <x:v>820</x:v>
      </x:c>
      <x:c r="F267" s="30" t="n">
        <x:v>3350</x:v>
      </x:c>
      <x:c r="G267" s="30" t="n">
        <x:v>142</x:v>
      </x:c>
      <x:c r="H267" s="30" t="n">
        <x:v>250</x:v>
      </x:c>
      <x:c r="I267" s="30" t="n">
        <x:v>150</x:v>
      </x:c>
      <x:c r="J267" s="30" t="n">
        <x:v>2.3</x:v>
      </x:c>
      <x:c r="K267" s="30" t="n">
        <x:v>462</x:v>
      </x:c>
      <x:c r="L267" s="30" t="n">
        <x:v>100</x:v>
      </x:c>
      <x:c r="M267" s="30" t="n">
        <x:v>430</x:v>
      </x:c>
      <x:c r="N267" s="30" t="n">
        <x:v>6</x:v>
      </x:c>
      <x:c r="O267" s="30" t="str">
        <x:v>6010</x:v>
      </x:c>
      <x:c r="P267" s="25"/>
      <x:c r="Q267" s="25"/>
      <x:c r="R267" s="25"/>
      <x:c r="S267" s="25"/>
      <x:c r="T267" s="25"/>
      <x:c r="U267" s="25"/>
      <x:c r="V267" s="25"/>
    </x:row>
    <x:row r="268">
      <x:c r="A268" s="29" t="str">
        <x:v>50050100</x:v>
      </x:c>
      <x:c r="B268" s="30" t="str">
        <x:v>20-082 MIND BETA</x:v>
      </x:c>
      <x:c r="C268" s="30" t="str">
        <x:v>Available</x:v>
      </x:c>
      <x:c r="D268" s="30" t="str">
        <x:v>HEAD - 20-082 MIND BETA</x:v>
      </x:c>
      <x:c r="E268" s="30" t="n">
        <x:v>520</x:v>
      </x:c>
      <x:c r="F268" s="30" t="n">
        <x:v>3460</x:v>
      </x:c>
      <x:c r="G268" s="30" t="n">
        <x:v>128</x:v>
      </x:c>
      <x:c r="H268" s="30" t="n">
        <x:v>250</x:v>
      </x:c>
      <x:c r="I268" s="30" t="n">
        <x:v>150</x:v>
      </x:c>
      <x:c r="J268" s="30" t="n">
        <x:v>0</x:v>
      </x:c>
      <x:c r="K268" s="30" t="n">
        <x:v>536</x:v>
      </x:c>
      <x:c r="L268" s="30" t="n">
        <x:v>100</x:v>
      </x:c>
      <x:c r="M268" s="30" t="n">
        <x:v>540</x:v>
      </x:c>
      <x:c r="N268" s="30" t="n">
        <x:v>12</x:v>
      </x:c>
      <x:c r="O268" s="30" t="str">
        <x:v>6110</x:v>
      </x:c>
      <x:c r="P268" s="25"/>
      <x:c r="Q268" s="25"/>
      <x:c r="R268" s="25"/>
      <x:c r="S268" s="25"/>
      <x:c r="T268" s="25"/>
      <x:c r="U268" s="25"/>
      <x:c r="V268" s="25"/>
    </x:row>
    <x:row r="269">
      <x:c r="A269" s="29" t="str">
        <x:v>50060000</x:v>
      </x:c>
      <x:c r="B269" s="30" t="str">
        <x:v>EL-TH-10 FIRMEZA</x:v>
      </x:c>
      <x:c r="C269" s="30" t="str">
        <x:v>Available</x:v>
      </x:c>
      <x:c r="D269" s="30" t="str">
        <x:v>HEAD - EL-TH-10 FIRMEZA</x:v>
      </x:c>
      <x:c r="E269" s="30" t="n">
        <x:v>750</x:v>
      </x:c>
      <x:c r="F269" s="30" t="n">
        <x:v>2370</x:v>
      </x:c>
      <x:c r="G269" s="30" t="n">
        <x:v>134</x:v>
      </x:c>
      <x:c r="H269" s="30" t="n">
        <x:v>250</x:v>
      </x:c>
      <x:c r="I269" s="30" t="n">
        <x:v>150</x:v>
      </x:c>
      <x:c r="J269" s="30" t="n">
        <x:v>0.4</x:v>
      </x:c>
      <x:c r="K269" s="30" t="n">
        <x:v>431</x:v>
      </x:c>
      <x:c r="L269" s="30" t="n">
        <x:v>100</x:v>
      </x:c>
      <x:c r="M269" s="30" t="n">
        <x:v>440</x:v>
      </x:c>
      <x:c r="N269" s="30" t="n">
        <x:v>15</x:v>
      </x:c>
      <x:c r="O269" s="30" t="str">
        <x:v>7010</x:v>
      </x:c>
      <x:c r="P269" s="25"/>
      <x:c r="Q269" s="25"/>
      <x:c r="R269" s="25"/>
      <x:c r="S269" s="25"/>
      <x:c r="T269" s="25"/>
      <x:c r="U269" s="25"/>
      <x:c r="V269" s="25"/>
    </x:row>
    <x:row r="270">
      <x:c r="A270" s="29" t="str">
        <x:v>50070200</x:v>
      </x:c>
      <x:c r="B270" s="30" t="str">
        <x:v>AH-J-124 BASHO</x:v>
      </x:c>
      <x:c r="C270" s="30" t="str">
        <x:v>Available</x:v>
      </x:c>
      <x:c r="D270" s="30" t="str">
        <x:v>HEAD - AH-J-124 BASHO</x:v>
      </x:c>
      <x:c r="E270" s="30" t="n">
        <x:v>1250</x:v>
      </x:c>
      <x:c r="F270" s="30" t="n">
        <x:v>4600</x:v>
      </x:c>
      <x:c r="G270" s="30" t="n">
        <x:v>95</x:v>
      </x:c>
      <x:c r="H270" s="30" t="n">
        <x:v>250</x:v>
      </x:c>
      <x:c r="I270" s="30" t="n">
        <x:v>150</x:v>
      </x:c>
      <x:c r="J270" s="30" t="n">
        <x:v>4.2</x:v>
      </x:c>
      <x:c r="K270" s="30" t="n">
        <x:v>394</x:v>
      </x:c>
      <x:c r="L270" s="30" t="n">
        <x:v>100</x:v>
      </x:c>
      <x:c r="M270" s="30" t="n">
        <x:v>390</x:v>
      </x:c>
      <x:c r="N270" s="30" t="n">
        <x:v>14.4</x:v>
      </x:c>
      <x:c r="O270" s="30" t="str">
        <x:v>8030</x:v>
      </x:c>
      <x:c r="P270" s="25"/>
      <x:c r="Q270" s="25"/>
      <x:c r="R270" s="25"/>
      <x:c r="S270" s="25"/>
      <x:c r="T270" s="25"/>
      <x:c r="U270" s="25"/>
      <x:c r="V270" s="25"/>
    </x:row>
    <x:row r="271">
      <x:c r="A271" s="29" t="str">
        <x:v>50070300</x:v>
      </x:c>
      <x:c r="B271" s="30" t="str">
        <x:v>HC-3000 WRECKER</x:v>
      </x:c>
      <x:c r="C271" s="30" t="str">
        <x:v>Available</x:v>
      </x:c>
      <x:c r="D271" s="30" t="str">
        <x:v>HEAD - HC-3000 WRECKER</x:v>
      </x:c>
      <x:c r="E271" s="30" t="n">
        <x:v>1130</x:v>
      </x:c>
      <x:c r="F271" s="30" t="n">
        <x:v>3800</x:v>
      </x:c>
      <x:c r="G271" s="30" t="n">
        <x:v>102</x:v>
      </x:c>
      <x:c r="H271" s="30" t="n">
        <x:v>250</x:v>
      </x:c>
      <x:c r="I271" s="30" t="n">
        <x:v>150</x:v>
      </x:c>
      <x:c r="J271" s="30" t="n">
        <x:v>3.7</x:v>
      </x:c>
      <x:c r="K271" s="30" t="n">
        <x:v>378</x:v>
      </x:c>
      <x:c r="L271" s="30" t="n">
        <x:v>100</x:v>
      </x:c>
      <x:c r="M271" s="30" t="n">
        <x:v>370</x:v>
      </x:c>
      <x:c r="N271" s="30" t="n">
        <x:v>3</x:v>
      </x:c>
      <x:c r="O271" s="30" t="str">
        <x:v>8040</x:v>
      </x:c>
      <x:c r="P271" s="25"/>
      <x:c r="Q271" s="25"/>
      <x:c r="R271" s="25"/>
      <x:c r="S271" s="25"/>
      <x:c r="T271" s="25"/>
      <x:c r="U271" s="25"/>
      <x:c r="V271" s="25"/>
    </x:row>
    <x:row r="272">
      <x:c r="A272" s="29" t="str">
        <x:v>50070400</x:v>
      </x:c>
      <x:c r="B272" s="30" t="str">
        <x:v>HC-2000 FINDER EYE</x:v>
      </x:c>
      <x:c r="C272" s="30" t="str">
        <x:v>Available</x:v>
      </x:c>
      <x:c r="D272" s="30" t="str">
        <x:v>HEAD - HC-2000 FINDER EYE</x:v>
      </x:c>
      <x:c r="E272" s="30" t="n">
        <x:v>660</x:v>
      </x:c>
      <x:c r="F272" s="30" t="n">
        <x:v>2670</x:v>
      </x:c>
      <x:c r="G272" s="30" t="n">
        <x:v>84</x:v>
      </x:c>
      <x:c r="H272" s="30" t="n">
        <x:v>250</x:v>
      </x:c>
      <x:c r="I272" s="30" t="n">
        <x:v>150</x:v>
      </x:c>
      <x:c r="J272" s="30" t="n">
        <x:v>0.3</x:v>
      </x:c>
      <x:c r="K272" s="30" t="n">
        <x:v>396</x:v>
      </x:c>
      <x:c r="L272" s="30" t="n">
        <x:v>100</x:v>
      </x:c>
      <x:c r="M272" s="30" t="n">
        <x:v>340</x:v>
      </x:c>
      <x:c r="N272" s="30" t="n">
        <x:v>4.2</x:v>
      </x:c>
      <x:c r="O272" s="30" t="str">
        <x:v>1400</x:v>
      </x:c>
      <x:c r="P272" s="25"/>
      <x:c r="Q272" s="25"/>
      <x:c r="R272" s="25"/>
      <x:c r="S272" s="25"/>
      <x:c r="T272" s="25"/>
      <x:c r="U272" s="25"/>
      <x:c r="V272" s="25"/>
    </x:row>
    <x:row r="273">
      <x:c r="A273" s="29" t="str">
        <x:v>50070600</x:v>
      </x:c>
      <x:c r="B273" s="30" t="str">
        <x:v>HC-2000/BC SHADE EYE</x:v>
      </x:c>
      <x:c r="C273" s="30" t="str">
        <x:v>Available</x:v>
      </x:c>
      <x:c r="D273" s="30" t="str">
        <x:v>HEAD - HC-2000/BC SHADE EYE</x:v>
      </x:c>
      <x:c r="E273" s="30" t="n">
        <x:v>770</x:v>
      </x:c>
      <x:c r="F273" s="30" t="n">
        <x:v>3090</x:v>
      </x:c>
      <x:c r="G273" s="30" t="n">
        <x:v>163</x:v>
      </x:c>
      <x:c r="H273" s="30" t="n">
        <x:v>250</x:v>
      </x:c>
      <x:c r="I273" s="30" t="n">
        <x:v>150</x:v>
      </x:c>
      <x:c r="J273" s="30" t="n">
        <x:v>3.1</x:v>
      </x:c>
      <x:c r="K273" s="30" t="n">
        <x:v>472</x:v>
      </x:c>
      <x:c r="L273" s="30" t="n">
        <x:v>100</x:v>
      </x:c>
      <x:c r="M273" s="30" t="n">
        <x:v>450</x:v>
      </x:c>
      <x:c r="N273" s="30" t="n">
        <x:v>10.8</x:v>
      </x:c>
      <x:c r="O273" s="30" t="str">
        <x:v>8150</x:v>
      </x:c>
      <x:c r="P273" s="25"/>
      <x:c r="Q273" s="25"/>
      <x:c r="R273" s="25"/>
      <x:c r="S273" s="25"/>
      <x:c r="T273" s="25"/>
      <x:c r="U273" s="25"/>
      <x:c r="V273" s="25"/>
    </x:row>
    <x:row r="274">
      <x:c r="A274" s="29" t="str">
        <x:v>50080000</x:v>
      </x:c>
      <x:c r="B274" s="30" t="str">
        <x:v>IB-C03H: HAL 826</x:v>
      </x:c>
      <x:c r="C274" s="30" t="str">
        <x:v>Available</x:v>
      </x:c>
      <x:c r="D274" s="30" t="str">
        <x:v>HEAD - IB-C03H: HAL 826</x:v>
      </x:c>
      <x:c r="E274" s="30" t="n">
        <x:v>930</x:v>
      </x:c>
      <x:c r="F274" s="30" t="n">
        <x:v>3760</x:v>
      </x:c>
      <x:c r="G274" s="30" t="n">
        <x:v>215</x:v>
      </x:c>
      <x:c r="H274" s="30" t="n">
        <x:v>250</x:v>
      </x:c>
      <x:c r="I274" s="30" t="n">
        <x:v>150</x:v>
      </x:c>
      <x:c r="J274" s="30" t="n">
        <x:v>3</x:v>
      </x:c>
      <x:c r="K274" s="30" t="n">
        <x:v>470</x:v>
      </x:c>
      <x:c r="L274" s="30" t="n">
        <x:v>100</x:v>
      </x:c>
      <x:c r="M274" s="30" t="n">
        <x:v>600</x:v>
      </x:c>
      <x:c r="N274" s="30" t="n">
        <x:v>16.8</x:v>
      </x:c>
      <x:c r="O274" s="30" t="str">
        <x:v>8010</x:v>
      </x:c>
      <x:c r="P274" s="25"/>
      <x:c r="Q274" s="25"/>
      <x:c r="R274" s="25"/>
      <x:c r="S274" s="25"/>
      <x:c r="T274" s="25"/>
      <x:c r="U274" s="25"/>
      <x:c r="V274" s="25"/>
    </x:row>
    <x:row r="275">
      <x:c r="A275" s="29" t="str">
        <x:v>50080100</x:v>
      </x:c>
      <x:c r="B275" s="30" t="str">
        <x:v>IA-C01H: EPHEMERA</x:v>
      </x:c>
      <x:c r="C275" s="30" t="str">
        <x:v>Available</x:v>
      </x:c>
      <x:c r="D275" s="30" t="str">
        <x:v>HEAD - IA-C01H: EPHEMERA</x:v>
      </x:c>
      <x:c r="E275" s="30" t="n">
        <x:v>990</x:v>
      </x:c>
      <x:c r="F275" s="30" t="n">
        <x:v>4330</x:v>
      </x:c>
      <x:c r="G275" s="30" t="n">
        <x:v>233</x:v>
      </x:c>
      <x:c r="H275" s="30" t="n">
        <x:v>250</x:v>
      </x:c>
      <x:c r="I275" s="30" t="n">
        <x:v>150</x:v>
      </x:c>
      <x:c r="J275" s="30" t="n">
        <x:v>3.6</x:v>
      </x:c>
      <x:c r="K275" s="30" t="n">
        <x:v>480</x:v>
      </x:c>
      <x:c r="L275" s="30" t="n">
        <x:v>100</x:v>
      </x:c>
      <x:c r="M275" s="30" t="n">
        <x:v>550</x:v>
      </x:c>
      <x:c r="N275" s="30" t="n">
        <x:v>4.8</x:v>
      </x:c>
      <x:c r="O275" s="30" t="str">
        <x:v>8020</x:v>
      </x:c>
      <x:c r="P275" s="25"/>
      <x:c r="Q275" s="25"/>
      <x:c r="R275" s="25"/>
      <x:c r="S275" s="25"/>
      <x:c r="T275" s="25"/>
      <x:c r="U275" s="25"/>
      <x:c r="V275" s="25"/>
    </x:row>
    <x:row r="276">
      <x:c r="A276" s="29" t="str">
        <x:v>50080200</x:v>
      </x:c>
      <x:c r="B276" s="30" t="str">
        <x:v>EL-PH-00 ALBA</x:v>
      </x:c>
      <x:c r="C276" s="30" t="str">
        <x:v>Available</x:v>
      </x:c>
      <x:c r="D276" s="30" t="str">
        <x:v>HEAD - EL-PH-00 ALBA</x:v>
      </x:c>
      <x:c r="E276" s="30" t="n">
        <x:v>600</x:v>
      </x:c>
      <x:c r="F276" s="30" t="n">
        <x:v>2800</x:v>
      </x:c>
      <x:c r="G276" s="30" t="n">
        <x:v>205</x:v>
      </x:c>
      <x:c r="H276" s="30" t="n">
        <x:v>250</x:v>
      </x:c>
      <x:c r="I276" s="30" t="n">
        <x:v>150</x:v>
      </x:c>
      <x:c r="J276" s="30" t="n">
        <x:v>2.1</x:v>
      </x:c>
      <x:c r="K276" s="30" t="n">
        <x:v>485</x:v>
      </x:c>
      <x:c r="L276" s="30" t="n">
        <x:v>100</x:v>
      </x:c>
      <x:c r="M276" s="30" t="n">
        <x:v>500</x:v>
      </x:c>
      <x:c r="N276" s="30" t="n">
        <x:v>3.6</x:v>
      </x:c>
      <x:c r="O276" s="30" t="str">
        <x:v>8060</x:v>
      </x:c>
      <x:c r="P276" s="25"/>
      <x:c r="Q276" s="25"/>
      <x:c r="R276" s="25"/>
      <x:c r="S276" s="25"/>
      <x:c r="T276" s="25"/>
      <x:c r="U276" s="25"/>
      <x:c r="V276" s="25"/>
    </x:row>
    <x:row r="277">
      <x:c r="A277" s="29" t="str">
        <x:v>50080300</x:v>
      </x:c>
      <x:c r="B277" s="30" t="str">
        <x:v>LAMMERGEIER/44F</x:v>
      </x:c>
      <x:c r="C277" s="30" t="str">
        <x:v>Available</x:v>
      </x:c>
      <x:c r="D277" s="30" t="str">
        <x:v>HEAD - LAMMERGEIER/44F</x:v>
      </x:c>
      <x:c r="E277" s="30" t="n">
        <x:v>300</x:v>
      </x:c>
      <x:c r="F277" s="30" t="n">
        <x:v>1050</x:v>
      </x:c>
      <x:c r="G277" s="30" t="n">
        <x:v>220</x:v>
      </x:c>
      <x:c r="H277" s="30" t="n">
        <x:v>250</x:v>
      </x:c>
      <x:c r="I277" s="30" t="n">
        <x:v>150</x:v>
      </x:c>
      <x:c r="J277" s="30" t="n">
        <x:v>-2</x:v>
      </x:c>
      <x:c r="K277" s="30" t="n">
        <x:v>305</x:v>
      </x:c>
      <x:c r="L277" s="30" t="n">
        <x:v>100</x:v>
      </x:c>
      <x:c r="M277" s="30" t="n">
        <x:v>360</x:v>
      </x:c>
      <x:c r="N277" s="30" t="n">
        <x:v>6.6</x:v>
      </x:c>
      <x:c r="O277" s="30" t="str">
        <x:v>8070</x:v>
      </x:c>
      <x:c r="P277" s="25"/>
      <x:c r="Q277" s="25"/>
      <x:c r="R277" s="25"/>
      <x:c r="S277" s="25"/>
      <x:c r="T277" s="25"/>
      <x:c r="U277" s="25"/>
      <x:c r="V277" s="25"/>
    </x:row>
    <x:row r="278">
      <x:c r="A278" s="31" t="str">
        <x:v>50900000</x:v>
      </x:c>
      <x:c r="B278" s="32" t="str">
        <x:v>AH-J-124/RC JAILBREAK</x:v>
      </x:c>
      <x:c r="C278" s="32" t="str">
        <x:v>Available</x:v>
      </x:c>
      <x:c r="D278" s="32" t="str">
        <x:v>HEAD - AH-J-124/RC JAILBREAK</x:v>
      </x:c>
      <x:c r="E278" s="32" t="n">
        <x:v>1000</x:v>
      </x:c>
      <x:c r="F278" s="32" t="n">
        <x:v>4250</x:v>
      </x:c>
      <x:c r="G278" s="32" t="n">
        <x:v>95</x:v>
      </x:c>
      <x:c r="H278" s="32" t="n">
        <x:v>250</x:v>
      </x:c>
      <x:c r="I278" s="32" t="n">
        <x:v>150</x:v>
      </x:c>
      <x:c r="J278" s="32" t="n">
        <x:v>3.2</x:v>
      </x:c>
      <x:c r="K278" s="32" t="n">
        <x:v>302</x:v>
      </x:c>
      <x:c r="L278" s="32" t="n">
        <x:v>100</x:v>
      </x:c>
      <x:c r="M278" s="32" t="n">
        <x:v>400</x:v>
      </x:c>
      <x:c r="N278" s="32" t="n">
        <x:v>6</x:v>
      </x:c>
      <x:c r="O278" s="32" t="str">
        <x:v>8031</x:v>
      </x:c>
      <x:c r="P278" s="25"/>
      <x:c r="Q278" s="25"/>
      <x:c r="R278" s="25"/>
      <x:c r="S278" s="25"/>
      <x:c r="T278" s="25"/>
      <x:c r="U278" s="25"/>
      <x:c r="V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  <x:c r="I279" s="25"/>
      <x:c r="J279" s="25"/>
      <x:c r="K279" s="25"/>
      <x:c r="L279" s="25"/>
      <x:c r="M279" s="25"/>
      <x:c r="N279" s="25"/>
      <x:c r="O279" s="25"/>
      <x:c r="P279" s="25"/>
      <x:c r="Q279" s="25"/>
      <x:c r="R279" s="25"/>
      <x:c r="S279" s="25"/>
      <x:c r="T279" s="25"/>
      <x:c r="U279" s="25"/>
      <x:c r="V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  <x:c r="I280" s="25"/>
      <x:c r="J280" s="25"/>
      <x:c r="K280" s="25"/>
      <x:c r="L280" s="25"/>
      <x:c r="M280" s="25"/>
      <x:c r="N280" s="25"/>
      <x:c r="O280" s="25"/>
      <x:c r="P280" s="25"/>
      <x:c r="Q280" s="25"/>
      <x:c r="R280" s="25"/>
      <x:c r="S280" s="25"/>
      <x:c r="T280" s="25"/>
      <x:c r="U280" s="25"/>
      <x:c r="V280" s="25"/>
    </x:row>
    <x:row r="281" ht="25" customHeight="1">
      <x:c r="A281" s="23" t="str">
        <x:v>Armor — Core  •  17 parts</x:v>
      </x:c>
      <x:c r="B281" s="23"/>
      <x:c r="C281" s="23"/>
      <x:c r="D281" s="23"/>
      <x:c r="E281" s="23"/>
      <x:c r="F281" s="23"/>
      <x:c r="G281" s="23"/>
      <x:c r="H281" s="23"/>
      <x:c r="I281" s="23"/>
      <x:c r="J281" s="23"/>
      <x:c r="K281" s="23"/>
      <x:c r="L281" s="23"/>
      <x:c r="M281" s="23"/>
      <x:c r="N281" s="23"/>
      <x:c r="O281" s="23"/>
      <x:c r="P281" s="25"/>
      <x:c r="Q281" s="25"/>
      <x:c r="R281" s="25"/>
      <x:c r="S281" s="25"/>
      <x:c r="T281" s="25"/>
      <x:c r="U281" s="25"/>
      <x:c r="V281" s="25"/>
    </x:row>
    <x:row r="282" ht="32" customHeight="1">
      <x:c r="A282" s="26" t="str">
        <x:v>ID</x:v>
      </x:c>
      <x:c r="B282" s="26" t="str">
        <x:v>Part Name</x:v>
      </x:c>
      <x:c r="C282" s="26" t="str">
        <x:v>Data Status</x:v>
      </x:c>
      <x:c r="D282" s="26" t="str">
        <x:v>Internal Label</x:v>
      </x:c>
      <x:c r="E282" s="26" t="str">
        <x:v>AP</x:v>
      </x:c>
      <x:c r="F282" s="26" t="str">
        <x:v>Weight</x:v>
      </x:c>
      <x:c r="G282" s="26" t="str">
        <x:v>EN Load</x:v>
      </x:c>
      <x:c r="H282" s="26" t="str">
        <x:v>Kinetic Defense</x:v>
      </x:c>
      <x:c r="I282" s="26" t="str">
        <x:v>Energy Defense</x:v>
      </x:c>
      <x:c r="J282" s="26" t="str">
        <x:v>Explosive Defense</x:v>
      </x:c>
      <x:c r="K282" s="26" t="str">
        <x:v>Attitude Stability</x:v>
      </x:c>
      <x:c r="L282" s="26" t="str">
        <x:v>Generator Output Adj.</x:v>
      </x:c>
      <x:c r="M282" s="26" t="str">
        <x:v>Generator Supply Adj.</x:v>
      </x:c>
      <x:c r="N282" s="26" t="str">
        <x:v>Booster Efficiency Adj.</x:v>
      </x:c>
      <x:c r="O282" s="26" t="str">
        <x:v>Model ID</x:v>
      </x:c>
      <x:c r="P282" s="25"/>
      <x:c r="Q282" s="25"/>
      <x:c r="R282" s="25"/>
      <x:c r="S282" s="25"/>
      <x:c r="T282" s="25"/>
      <x:c r="U282" s="25"/>
      <x:c r="V282" s="25"/>
    </x:row>
    <x:row r="283">
      <x:c r="A283" s="27" t="str">
        <x:v>51000000</x:v>
      </x:c>
      <x:c r="B283" s="28" t="str">
        <x:v>BD-011 MELANDER</x:v>
      </x:c>
      <x:c r="C283" s="28" t="str">
        <x:v>Available</x:v>
      </x:c>
      <x:c r="D283" s="28" t="str">
        <x:v>CORE - BD-011 MELANDER</x:v>
      </x:c>
      <x:c r="E283" s="28" t="n">
        <x:v>3680</x:v>
      </x:c>
      <x:c r="F283" s="28" t="n">
        <x:v>15200</x:v>
      </x:c>
      <x:c r="G283" s="28" t="n">
        <x:v>304</x:v>
      </x:c>
      <x:c r="H283" s="28" t="n">
        <x:v>1850</x:v>
      </x:c>
      <x:c r="I283" s="28" t="n">
        <x:v>1600</x:v>
      </x:c>
      <x:c r="J283" s="28" t="n">
        <x:v>7.9</x:v>
      </x:c>
      <x:c r="K283" s="28" t="n">
        <x:v>474</x:v>
      </x:c>
      <x:c r="L283" s="28" t="n">
        <x:v>105</x:v>
      </x:c>
      <x:c r="M283" s="28" t="n">
        <x:v>97</x:v>
      </x:c>
      <x:c r="N283" s="28" t="n">
        <x:v>98</x:v>
      </x:c>
      <x:c r="O283" s="28" t="str">
        <x:v>1010</x:v>
      </x:c>
      <x:c r="P283" s="25"/>
      <x:c r="Q283" s="25"/>
      <x:c r="R283" s="25"/>
      <x:c r="S283" s="25"/>
      <x:c r="T283" s="25"/>
      <x:c r="U283" s="25"/>
      <x:c r="V283" s="25"/>
    </x:row>
    <x:row r="284">
      <x:c r="A284" s="29" t="str">
        <x:v>51000100</x:v>
      </x:c>
      <x:c r="B284" s="30" t="str">
        <x:v>CS-5000 MAIN DISH</x:v>
      </x:c>
      <x:c r="C284" s="30" t="str">
        <x:v>Available</x:v>
      </x:c>
      <x:c r="D284" s="30" t="str">
        <x:v>CORE - CS-5000 MAIN DISH</x:v>
      </x:c>
      <x:c r="E284" s="30" t="n">
        <x:v>3890</x:v>
      </x:c>
      <x:c r="F284" s="30" t="n">
        <x:v>23600</x:v>
      </x:c>
      <x:c r="G284" s="30" t="n">
        <x:v>413</x:v>
      </x:c>
      <x:c r="H284" s="30" t="n">
        <x:v>1850</x:v>
      </x:c>
      <x:c r="I284" s="30" t="n">
        <x:v>1600</x:v>
      </x:c>
      <x:c r="J284" s="30" t="n">
        <x:v>11.9</x:v>
      </x:c>
      <x:c r="K284" s="30" t="n">
        <x:v>641</x:v>
      </x:c>
      <x:c r="L284" s="30" t="n">
        <x:v>97</x:v>
      </x:c>
      <x:c r="M284" s="30" t="n">
        <x:v>112</x:v>
      </x:c>
      <x:c r="N284" s="30" t="n">
        <x:v>79</x:v>
      </x:c>
      <x:c r="O284" s="30" t="str">
        <x:v>1080</x:v>
      </x:c>
      <x:c r="P284" s="25"/>
      <x:c r="Q284" s="25"/>
      <x:c r="R284" s="25"/>
      <x:c r="S284" s="25"/>
      <x:c r="T284" s="25"/>
      <x:c r="U284" s="25"/>
      <x:c r="V284" s="25"/>
    </x:row>
    <x:row r="285">
      <x:c r="A285" s="29" t="str">
        <x:v>51000300</x:v>
      </x:c>
      <x:c r="B285" s="30" t="str">
        <x:v>BD-012 MELANDER C3</x:v>
      </x:c>
      <x:c r="C285" s="30" t="str">
        <x:v>Available</x:v>
      </x:c>
      <x:c r="D285" s="30" t="str">
        <x:v>CORE - BD-012 MELANDER C3</x:v>
      </x:c>
      <x:c r="E285" s="30" t="n">
        <x:v>3010</x:v>
      </x:c>
      <x:c r="F285" s="30" t="n">
        <x:v>13700</x:v>
      </x:c>
      <x:c r="G285" s="30" t="n">
        <x:v>322</x:v>
      </x:c>
      <x:c r="H285" s="30" t="n">
        <x:v>1850</x:v>
      </x:c>
      <x:c r="I285" s="30" t="n">
        <x:v>1600</x:v>
      </x:c>
      <x:c r="J285" s="30" t="n">
        <x:v>7.8</x:v>
      </x:c>
      <x:c r="K285" s="30" t="n">
        <x:v>433</x:v>
      </x:c>
      <x:c r="L285" s="30" t="n">
        <x:v>102</x:v>
      </x:c>
      <x:c r="M285" s="30" t="n">
        <x:v>106</x:v>
      </x:c>
      <x:c r="N285" s="30" t="n">
        <x:v>107</x:v>
      </x:c>
      <x:c r="O285" s="30" t="str">
        <x:v>1011</x:v>
      </x:c>
      <x:c r="P285" s="25"/>
      <x:c r="Q285" s="25"/>
      <x:c r="R285" s="25"/>
      <x:c r="S285" s="25"/>
      <x:c r="T285" s="25"/>
      <x:c r="U285" s="25"/>
      <x:c r="V285" s="25"/>
    </x:row>
    <x:row r="286">
      <x:c r="A286" s="29" t="str">
        <x:v>51010000</x:v>
      </x:c>
      <x:c r="B286" s="30" t="str">
        <x:v>DF-BD-08 TIAN-QIANG</x:v>
      </x:c>
      <x:c r="C286" s="30" t="str">
        <x:v>Available</x:v>
      </x:c>
      <x:c r="D286" s="30" t="str">
        <x:v>CORE - DF-BD-08 TIAN-QIANG</x:v>
      </x:c>
      <x:c r="E286" s="30" t="n">
        <x:v>4100</x:v>
      </x:c>
      <x:c r="F286" s="30" t="n">
        <x:v>20650</x:v>
      </x:c>
      <x:c r="G286" s="30" t="n">
        <x:v>388</x:v>
      </x:c>
      <x:c r="H286" s="30" t="n">
        <x:v>1850</x:v>
      </x:c>
      <x:c r="I286" s="30" t="n">
        <x:v>1600</x:v>
      </x:c>
      <x:c r="J286" s="30" t="n">
        <x:v>12.8</x:v>
      </x:c>
      <x:c r="K286" s="30" t="n">
        <x:v>629</x:v>
      </x:c>
      <x:c r="L286" s="30" t="n">
        <x:v>114</x:v>
      </x:c>
      <x:c r="M286" s="30" t="n">
        <x:v>70</x:v>
      </x:c>
      <x:c r="N286" s="30" t="n">
        <x:v>76</x:v>
      </x:c>
      <x:c r="O286" s="30" t="str">
        <x:v>2010</x:v>
      </x:c>
      <x:c r="P286" s="25"/>
      <x:c r="Q286" s="25"/>
      <x:c r="R286" s="25"/>
      <x:c r="S286" s="25"/>
      <x:c r="T286" s="25"/>
      <x:c r="U286" s="25"/>
      <x:c r="V286" s="25"/>
    </x:row>
    <x:row r="287">
      <x:c r="A287" s="29" t="str">
        <x:v>51020000</x:v>
      </x:c>
      <x:c r="B287" s="30" t="str">
        <x:v>NACHTREIHER/40E</x:v>
      </x:c>
      <x:c r="C287" s="30" t="str">
        <x:v>Available</x:v>
      </x:c>
      <x:c r="D287" s="30" t="str">
        <x:v>CORE - NACHTREIHER/40E</x:v>
      </x:c>
      <x:c r="E287" s="30" t="n">
        <x:v>2630</x:v>
      </x:c>
      <x:c r="F287" s="30" t="n">
        <x:v>9820</x:v>
      </x:c>
      <x:c r="G287" s="30" t="n">
        <x:v>330</x:v>
      </x:c>
      <x:c r="H287" s="30" t="n">
        <x:v>1850</x:v>
      </x:c>
      <x:c r="I287" s="30" t="n">
        <x:v>1600</x:v>
      </x:c>
      <x:c r="J287" s="30" t="n">
        <x:v>-1.9</x:v>
      </x:c>
      <x:c r="K287" s="30" t="n">
        <x:v>366</x:v>
      </x:c>
      <x:c r="L287" s="30" t="n">
        <x:v>91</x:v>
      </x:c>
      <x:c r="M287" s="30" t="n">
        <x:v>109</x:v>
      </x:c>
      <x:c r="N287" s="30" t="n">
        <x:v>126</x:v>
      </x:c>
      <x:c r="O287" s="30" t="str">
        <x:v>3010</x:v>
      </x:c>
      <x:c r="P287" s="25"/>
      <x:c r="Q287" s="25"/>
      <x:c r="R287" s="25"/>
      <x:c r="S287" s="25"/>
      <x:c r="T287" s="25"/>
      <x:c r="U287" s="25"/>
      <x:c r="V287" s="25"/>
    </x:row>
    <x:row r="288">
      <x:c r="A288" s="29" t="str">
        <x:v>51030000</x:v>
      </x:c>
      <x:c r="B288" s="30" t="str">
        <x:v>VP-40S</x:v>
      </x:c>
      <x:c r="C288" s="30" t="str">
        <x:v>Available</x:v>
      </x:c>
      <x:c r="D288" s="30" t="str">
        <x:v>CORE - VP-40S</x:v>
      </x:c>
      <x:c r="E288" s="30" t="n">
        <x:v>3160</x:v>
      </x:c>
      <x:c r="F288" s="30" t="n">
        <x:v>15030</x:v>
      </x:c>
      <x:c r="G288" s="30" t="n">
        <x:v>337</x:v>
      </x:c>
      <x:c r="H288" s="30" t="n">
        <x:v>1850</x:v>
      </x:c>
      <x:c r="I288" s="30" t="n">
        <x:v>1600</x:v>
      </x:c>
      <x:c r="J288" s="30" t="n">
        <x:v>3.9</x:v>
      </x:c>
      <x:c r="K288" s="30" t="n">
        <x:v>446</x:v>
      </x:c>
      <x:c r="L288" s="30" t="n">
        <x:v>111</x:v>
      </x:c>
      <x:c r="M288" s="30" t="n">
        <x:v>102</x:v>
      </x:c>
      <x:c r="N288" s="30" t="n">
        <x:v>102</x:v>
      </x:c>
      <x:c r="O288" s="30" t="str">
        <x:v>4010</x:v>
      </x:c>
      <x:c r="P288" s="25"/>
      <x:c r="Q288" s="25"/>
      <x:c r="R288" s="25"/>
      <x:c r="S288" s="25"/>
      <x:c r="T288" s="25"/>
      <x:c r="U288" s="25"/>
      <x:c r="V288" s="25"/>
    </x:row>
    <x:row r="289">
      <x:c r="A289" s="29" t="str">
        <x:v>51040000</x:v>
      </x:c>
      <x:c r="B289" s="30" t="str">
        <x:v>VE-40A</x:v>
      </x:c>
      <x:c r="C289" s="30" t="str">
        <x:v>Available</x:v>
      </x:c>
      <x:c r="D289" s="30" t="str">
        <x:v>CORE - VE-40A</x:v>
      </x:c>
      <x:c r="E289" s="30" t="n">
        <x:v>4320</x:v>
      </x:c>
      <x:c r="F289" s="30" t="n">
        <x:v>21100</x:v>
      </x:c>
      <x:c r="G289" s="30" t="n">
        <x:v>432</x:v>
      </x:c>
      <x:c r="H289" s="30" t="n">
        <x:v>1850</x:v>
      </x:c>
      <x:c r="I289" s="30" t="n">
        <x:v>1600</x:v>
      </x:c>
      <x:c r="J289" s="30" t="n">
        <x:v>10.8</x:v>
      </x:c>
      <x:c r="K289" s="30" t="n">
        <x:v>521</x:v>
      </x:c>
      <x:c r="L289" s="30" t="n">
        <x:v>122</x:v>
      </x:c>
      <x:c r="M289" s="30" t="n">
        <x:v>95</x:v>
      </x:c>
      <x:c r="N289" s="30" t="n">
        <x:v>81</x:v>
      </x:c>
      <x:c r="O289" s="30" t="str">
        <x:v>5010</x:v>
      </x:c>
      <x:c r="P289" s="25"/>
      <x:c r="Q289" s="25"/>
      <x:c r="R289" s="25"/>
      <x:c r="S289" s="25"/>
      <x:c r="T289" s="25"/>
      <x:c r="U289" s="25"/>
      <x:c r="V289" s="25"/>
    </x:row>
    <x:row r="290">
      <x:c r="A290" s="29" t="str">
        <x:v>51050000</x:v>
      </x:c>
      <x:c r="B290" s="30" t="str">
        <x:v>07-061 MIND ALPHA</x:v>
      </x:c>
      <x:c r="C290" s="30" t="str">
        <x:v>Available</x:v>
      </x:c>
      <x:c r="D290" s="30" t="str">
        <x:v>CORE - 07-061 MIND ALPHA</x:v>
      </x:c>
      <x:c r="E290" s="30" t="n">
        <x:v>3520</x:v>
      </x:c>
      <x:c r="F290" s="30" t="n">
        <x:v>16510</x:v>
      </x:c>
      <x:c r="G290" s="30" t="n">
        <x:v>364</x:v>
      </x:c>
      <x:c r="H290" s="30" t="n">
        <x:v>1850</x:v>
      </x:c>
      <x:c r="I290" s="30" t="n">
        <x:v>1600</x:v>
      </x:c>
      <x:c r="J290" s="30" t="n">
        <x:v>9.5</x:v>
      </x:c>
      <x:c r="K290" s="30" t="n">
        <x:v>455</x:v>
      </x:c>
      <x:c r="L290" s="30" t="n">
        <x:v>112</x:v>
      </x:c>
      <x:c r="M290" s="30" t="n">
        <x:v>104</x:v>
      </x:c>
      <x:c r="N290" s="30" t="n">
        <x:v>95</x:v>
      </x:c>
      <x:c r="O290" s="30" t="str">
        <x:v>6010</x:v>
      </x:c>
      <x:c r="P290" s="25"/>
      <x:c r="Q290" s="25"/>
      <x:c r="R290" s="25"/>
      <x:c r="S290" s="25"/>
      <x:c r="T290" s="25"/>
      <x:c r="U290" s="25"/>
      <x:c r="V290" s="25"/>
    </x:row>
    <x:row r="291">
      <x:c r="A291" s="29" t="str">
        <x:v>51060000</x:v>
      </x:c>
      <x:c r="B291" s="30" t="str">
        <x:v>EL-TC-10 FIRMEZA</x:v>
      </x:c>
      <x:c r="C291" s="30" t="str">
        <x:v>Available</x:v>
      </x:c>
      <x:c r="D291" s="30" t="str">
        <x:v>CORE - EL-TC-10 FIRMEZA</x:v>
      </x:c>
      <x:c r="E291" s="30" t="n">
        <x:v>2650</x:v>
      </x:c>
      <x:c r="F291" s="30" t="n">
        <x:v>10890</x:v>
      </x:c>
      <x:c r="G291" s="30" t="n">
        <x:v>351</x:v>
      </x:c>
      <x:c r="H291" s="30" t="n">
        <x:v>1850</x:v>
      </x:c>
      <x:c r="I291" s="30" t="n">
        <x:v>1600</x:v>
      </x:c>
      <x:c r="J291" s="30" t="n">
        <x:v>2.5</x:v>
      </x:c>
      <x:c r="K291" s="30" t="n">
        <x:v>410</x:v>
      </x:c>
      <x:c r="L291" s="30" t="n">
        <x:v>109</x:v>
      </x:c>
      <x:c r="M291" s="30" t="n">
        <x:v>89</x:v>
      </x:c>
      <x:c r="N291" s="30" t="n">
        <x:v>111</x:v>
      </x:c>
      <x:c r="O291" s="30" t="str">
        <x:v>7010</x:v>
      </x:c>
      <x:c r="P291" s="25"/>
      <x:c r="Q291" s="25"/>
      <x:c r="R291" s="25"/>
      <x:c r="S291" s="25"/>
      <x:c r="T291" s="25"/>
      <x:c r="U291" s="25"/>
      <x:c r="V291" s="25"/>
    </x:row>
    <x:row r="292">
      <x:c r="A292" s="29" t="str">
        <x:v>51070200</x:v>
      </x:c>
      <x:c r="B292" s="30" t="str">
        <x:v>AC-J-120 BASHO</x:v>
      </x:c>
      <x:c r="C292" s="30" t="str">
        <x:v>Available</x:v>
      </x:c>
      <x:c r="D292" s="30" t="str">
        <x:v>CORE - AC-J-120 BASHO</x:v>
      </x:c>
      <x:c r="E292" s="30" t="n">
        <x:v>3840</x:v>
      </x:c>
      <x:c r="F292" s="30" t="n">
        <x:v>16100</x:v>
      </x:c>
      <x:c r="G292" s="30" t="n">
        <x:v>300</x:v>
      </x:c>
      <x:c r="H292" s="30" t="n">
        <x:v>1850</x:v>
      </x:c>
      <x:c r="I292" s="30" t="n">
        <x:v>1600</x:v>
      </x:c>
      <x:c r="J292" s="30" t="n">
        <x:v>11</x:v>
      </x:c>
      <x:c r="K292" s="30" t="n">
        <x:v>502</x:v>
      </x:c>
      <x:c r="L292" s="30" t="n">
        <x:v>85</x:v>
      </x:c>
      <x:c r="M292" s="30" t="n">
        <x:v>94</x:v>
      </x:c>
      <x:c r="N292" s="30" t="n">
        <x:v>121</x:v>
      </x:c>
      <x:c r="O292" s="30" t="str">
        <x:v>8030</x:v>
      </x:c>
      <x:c r="P292" s="25"/>
      <x:c r="Q292" s="25"/>
      <x:c r="R292" s="25"/>
      <x:c r="S292" s="25"/>
      <x:c r="T292" s="25"/>
      <x:c r="U292" s="25"/>
      <x:c r="V292" s="25"/>
    </x:row>
    <x:row r="293">
      <x:c r="A293" s="29" t="str">
        <x:v>51070300</x:v>
      </x:c>
      <x:c r="B293" s="30" t="str">
        <x:v>CC-3000 WRECKER</x:v>
      </x:c>
      <x:c r="C293" s="30" t="str">
        <x:v>Available</x:v>
      </x:c>
      <x:c r="D293" s="30" t="str">
        <x:v>CORE - CC-3000 WRECKER</x:v>
      </x:c>
      <x:c r="E293" s="30" t="n">
        <x:v>3940</x:v>
      </x:c>
      <x:c r="F293" s="30" t="n">
        <x:v>19000</x:v>
      </x:c>
      <x:c r="G293" s="30" t="n">
        <x:v>310</x:v>
      </x:c>
      <x:c r="H293" s="30" t="n">
        <x:v>1850</x:v>
      </x:c>
      <x:c r="I293" s="30" t="n">
        <x:v>1600</x:v>
      </x:c>
      <x:c r="J293" s="30" t="n">
        <x:v>11.1</x:v>
      </x:c>
      <x:c r="K293" s="30" t="n">
        <x:v>532</x:v>
      </x:c>
      <x:c r="L293" s="30" t="n">
        <x:v>96</x:v>
      </x:c>
      <x:c r="M293" s="30" t="n">
        <x:v>100</x:v>
      </x:c>
      <x:c r="N293" s="30" t="n">
        <x:v>80</x:v>
      </x:c>
      <x:c r="O293" s="30" t="str">
        <x:v>8040</x:v>
      </x:c>
      <x:c r="P293" s="25"/>
      <x:c r="Q293" s="25"/>
      <x:c r="R293" s="25"/>
      <x:c r="S293" s="25"/>
      <x:c r="T293" s="25"/>
      <x:c r="U293" s="25"/>
      <x:c r="V293" s="25"/>
    </x:row>
    <x:row r="294">
      <x:c r="A294" s="29" t="str">
        <x:v>51070400</x:v>
      </x:c>
      <x:c r="B294" s="30" t="str">
        <x:v>CC-2000 ORBITER</x:v>
      </x:c>
      <x:c r="C294" s="30" t="str">
        <x:v>Available</x:v>
      </x:c>
      <x:c r="D294" s="30" t="str">
        <x:v>CORE - CC-2000 ORBITER</x:v>
      </x:c>
      <x:c r="E294" s="30" t="n">
        <x:v>2780</x:v>
      </x:c>
      <x:c r="F294" s="30" t="n">
        <x:v>12650</x:v>
      </x:c>
      <x:c r="G294" s="30" t="n">
        <x:v>267</x:v>
      </x:c>
      <x:c r="H294" s="30" t="n">
        <x:v>1850</x:v>
      </x:c>
      <x:c r="I294" s="30" t="n">
        <x:v>1600</x:v>
      </x:c>
      <x:c r="J294" s="30" t="n">
        <x:v>2.4</x:v>
      </x:c>
      <x:c r="K294" s="30" t="n">
        <x:v>407</x:v>
      </x:c>
      <x:c r="L294" s="30" t="n">
        <x:v>103</x:v>
      </x:c>
      <x:c r="M294" s="30" t="n">
        <x:v>93</x:v>
      </x:c>
      <x:c r="N294" s="30" t="n">
        <x:v>100</x:v>
      </x:c>
      <x:c r="O294" s="30" t="str">
        <x:v>1400</x:v>
      </x:c>
      <x:c r="P294" s="25"/>
      <x:c r="Q294" s="25"/>
      <x:c r="R294" s="25"/>
      <x:c r="S294" s="25"/>
      <x:c r="T294" s="25"/>
      <x:c r="U294" s="25"/>
      <x:c r="V294" s="25"/>
    </x:row>
    <x:row r="295">
      <x:c r="A295" s="29" t="str">
        <x:v>51080000</x:v>
      </x:c>
      <x:c r="B295" s="30" t="str">
        <x:v>IB-C03C: HAL 826</x:v>
      </x:c>
      <x:c r="C295" s="30" t="str">
        <x:v>Available</x:v>
      </x:c>
      <x:c r="D295" s="30" t="str">
        <x:v>CORE - IB-C03C: HAL 826</x:v>
      </x:c>
      <x:c r="E295" s="30" t="n">
        <x:v>3670</x:v>
      </x:c>
      <x:c r="F295" s="30" t="n">
        <x:v>18520</x:v>
      </x:c>
      <x:c r="G295" s="30" t="n">
        <x:v>366</x:v>
      </x:c>
      <x:c r="H295" s="30" t="n">
        <x:v>1850</x:v>
      </x:c>
      <x:c r="I295" s="30" t="n">
        <x:v>1600</x:v>
      </x:c>
      <x:c r="J295" s="30" t="n">
        <x:v>11.3</x:v>
      </x:c>
      <x:c r="K295" s="30" t="n">
        <x:v>385</x:v>
      </x:c>
      <x:c r="L295" s="30" t="n">
        <x:v>120</x:v>
      </x:c>
      <x:c r="M295" s="30" t="n">
        <x:v>108</x:v>
      </x:c>
      <x:c r="N295" s="30" t="n">
        <x:v>96</x:v>
      </x:c>
      <x:c r="O295" s="30" t="str">
        <x:v>8010</x:v>
      </x:c>
      <x:c r="P295" s="25"/>
      <x:c r="Q295" s="25"/>
      <x:c r="R295" s="25"/>
      <x:c r="S295" s="25"/>
      <x:c r="T295" s="25"/>
      <x:c r="U295" s="25"/>
      <x:c r="V295" s="25"/>
    </x:row>
    <x:row r="296">
      <x:c r="A296" s="29" t="str">
        <x:v>51080100</x:v>
      </x:c>
      <x:c r="B296" s="30" t="str">
        <x:v>IA-C01C: EPHEMERA</x:v>
      </x:c>
      <x:c r="C296" s="30" t="str">
        <x:v>Available</x:v>
      </x:c>
      <x:c r="D296" s="30" t="str">
        <x:v>CORE - IA-C01C: EPHEMERA</x:v>
      </x:c>
      <x:c r="E296" s="30" t="n">
        <x:v>2710</x:v>
      </x:c>
      <x:c r="F296" s="30" t="n">
        <x:v>13200</x:v>
      </x:c>
      <x:c r="G296" s="30" t="n">
        <x:v>412</x:v>
      </x:c>
      <x:c r="H296" s="30" t="n">
        <x:v>1850</x:v>
      </x:c>
      <x:c r="I296" s="30" t="n">
        <x:v>1600</x:v>
      </x:c>
      <x:c r="J296" s="30" t="n">
        <x:v>0</x:v>
      </x:c>
      <x:c r="K296" s="30" t="n">
        <x:v>353</x:v>
      </x:c>
      <x:c r="L296" s="30" t="n">
        <x:v>126</x:v>
      </x:c>
      <x:c r="M296" s="30" t="n">
        <x:v>96</x:v>
      </x:c>
      <x:c r="N296" s="30" t="n">
        <x:v>101</x:v>
      </x:c>
      <x:c r="O296" s="30" t="str">
        <x:v>8020</x:v>
      </x:c>
      <x:c r="P296" s="25"/>
      <x:c r="Q296" s="25"/>
      <x:c r="R296" s="25"/>
      <x:c r="S296" s="25"/>
      <x:c r="T296" s="25"/>
      <x:c r="U296" s="25"/>
      <x:c r="V296" s="25"/>
    </x:row>
    <x:row r="297">
      <x:c r="A297" s="29" t="str">
        <x:v>51080200</x:v>
      </x:c>
      <x:c r="B297" s="30" t="str">
        <x:v>EL-PC-00 ALBA</x:v>
      </x:c>
      <x:c r="C297" s="30" t="str">
        <x:v>Available</x:v>
      </x:c>
      <x:c r="D297" s="30" t="str">
        <x:v>CORE - EL-PC-00 ALBA</x:v>
      </x:c>
      <x:c r="E297" s="30" t="n">
        <x:v>2850</x:v>
      </x:c>
      <x:c r="F297" s="30" t="n">
        <x:v>12000</x:v>
      </x:c>
      <x:c r="G297" s="30" t="n">
        <x:v>315</x:v>
      </x:c>
      <x:c r="H297" s="30" t="n">
        <x:v>1850</x:v>
      </x:c>
      <x:c r="I297" s="30" t="n">
        <x:v>1600</x:v>
      </x:c>
      <x:c r="J297" s="30" t="n">
        <x:v>2</x:v>
      </x:c>
      <x:c r="K297" s="30" t="n">
        <x:v>368</x:v>
      </x:c>
      <x:c r="L297" s="30" t="n">
        <x:v>101</x:v>
      </x:c>
      <x:c r="M297" s="30" t="n">
        <x:v>105</x:v>
      </x:c>
      <x:c r="N297" s="30" t="n">
        <x:v>115</x:v>
      </x:c>
      <x:c r="O297" s="30" t="str">
        <x:v>8060</x:v>
      </x:c>
      <x:c r="P297" s="25"/>
      <x:c r="Q297" s="25"/>
      <x:c r="R297" s="25"/>
      <x:c r="S297" s="25"/>
      <x:c r="T297" s="25"/>
      <x:c r="U297" s="25"/>
      <x:c r="V297" s="25"/>
    </x:row>
    <x:row r="298">
      <x:c r="A298" s="29" t="str">
        <x:v>51080300</x:v>
      </x:c>
      <x:c r="B298" s="30" t="str">
        <x:v>LAMMERGEIER/40F</x:v>
      </x:c>
      <x:c r="C298" s="30" t="str">
        <x:v>Available</x:v>
      </x:c>
      <x:c r="D298" s="30" t="str">
        <x:v>CORE - LAMMERGEIER/40F</x:v>
      </x:c>
      <x:c r="E298" s="30" t="n">
        <x:v>2470</x:v>
      </x:c>
      <x:c r="F298" s="30" t="n">
        <x:v>9700</x:v>
      </x:c>
      <x:c r="G298" s="30" t="n">
        <x:v>341</x:v>
      </x:c>
      <x:c r="H298" s="30" t="n">
        <x:v>1850</x:v>
      </x:c>
      <x:c r="I298" s="30" t="n">
        <x:v>1600</x:v>
      </x:c>
      <x:c r="J298" s="30" t="n">
        <x:v>-1.3</x:v>
      </x:c>
      <x:c r="K298" s="30" t="n">
        <x:v>354</x:v>
      </x:c>
      <x:c r="L298" s="30" t="n">
        <x:v>117</x:v>
      </x:c>
      <x:c r="M298" s="30" t="n">
        <x:v>110</x:v>
      </x:c>
      <x:c r="N298" s="30" t="n">
        <x:v>87</x:v>
      </x:c>
      <x:c r="O298" s="30" t="str">
        <x:v>8070</x:v>
      </x:c>
      <x:c r="P298" s="25"/>
      <x:c r="Q298" s="25"/>
      <x:c r="R298" s="25"/>
      <x:c r="S298" s="25"/>
      <x:c r="T298" s="25"/>
      <x:c r="U298" s="25"/>
      <x:c r="V298" s="25"/>
    </x:row>
    <x:row r="299">
      <x:c r="A299" s="31" t="str">
        <x:v>51900000</x:v>
      </x:c>
      <x:c r="B299" s="32" t="str">
        <x:v>AC-J-120/RC JAILBREAK</x:v>
      </x:c>
      <x:c r="C299" s="32" t="str">
        <x:v>Available</x:v>
      </x:c>
      <x:c r="D299" s="32" t="str">
        <x:v>CORE - AC-J-120/RC JAILBREAK</x:v>
      </x:c>
      <x:c r="E299" s="32" t="n">
        <x:v>2400</x:v>
      </x:c>
      <x:c r="F299" s="32" t="n">
        <x:v>12350</x:v>
      </x:c>
      <x:c r="G299" s="32" t="n">
        <x:v>300</x:v>
      </x:c>
      <x:c r="H299" s="32" t="n">
        <x:v>1850</x:v>
      </x:c>
      <x:c r="I299" s="32" t="n">
        <x:v>1600</x:v>
      </x:c>
      <x:c r="J299" s="32" t="n">
        <x:v>7</x:v>
      </x:c>
      <x:c r="K299" s="32" t="n">
        <x:v>403</x:v>
      </x:c>
      <x:c r="L299" s="32" t="n">
        <x:v>83</x:v>
      </x:c>
      <x:c r="M299" s="32" t="n">
        <x:v>94</x:v>
      </x:c>
      <x:c r="N299" s="32" t="n">
        <x:v>119</x:v>
      </x:c>
      <x:c r="O299" s="32" t="str">
        <x:v>8031</x:v>
      </x:c>
      <x:c r="P299" s="25"/>
      <x:c r="Q299" s="25"/>
      <x:c r="R299" s="25"/>
      <x:c r="S299" s="25"/>
      <x:c r="T299" s="25"/>
      <x:c r="U299" s="25"/>
      <x:c r="V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  <x:c r="I300" s="25"/>
      <x:c r="J300" s="25"/>
      <x:c r="K300" s="25"/>
      <x:c r="L300" s="25"/>
      <x:c r="M300" s="25"/>
      <x:c r="N300" s="25"/>
      <x:c r="O300" s="25"/>
      <x:c r="P300" s="25"/>
      <x:c r="Q300" s="25"/>
      <x:c r="R300" s="25"/>
      <x:c r="S300" s="25"/>
      <x:c r="T300" s="25"/>
      <x:c r="U300" s="25"/>
      <x:c r="V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  <x:c r="I301" s="25"/>
      <x:c r="J301" s="25"/>
      <x:c r="K301" s="25"/>
      <x:c r="L301" s="25"/>
      <x:c r="M301" s="25"/>
      <x:c r="N301" s="25"/>
      <x:c r="O301" s="25"/>
      <x:c r="P301" s="25"/>
      <x:c r="Q301" s="25"/>
      <x:c r="R301" s="25"/>
      <x:c r="S301" s="25"/>
      <x:c r="T301" s="25"/>
      <x:c r="U301" s="25"/>
      <x:c r="V301" s="25"/>
    </x:row>
    <x:row r="302" ht="25" customHeight="1">
      <x:c r="A302" s="23" t="str">
        <x:v>Armor — Arms  •  19 parts</x:v>
      </x:c>
      <x:c r="B302" s="23"/>
      <x:c r="C302" s="23"/>
      <x:c r="D302" s="23"/>
      <x:c r="E302" s="23"/>
      <x:c r="F302" s="23"/>
      <x:c r="G302" s="23"/>
      <x:c r="H302" s="23"/>
      <x:c r="I302" s="23"/>
      <x:c r="J302" s="23"/>
      <x:c r="K302" s="23"/>
      <x:c r="L302" s="23"/>
      <x:c r="M302" s="23"/>
      <x:c r="N302" s="23"/>
      <x:c r="O302" s="23"/>
      <x:c r="P302" s="25"/>
      <x:c r="Q302" s="25"/>
      <x:c r="R302" s="25"/>
      <x:c r="S302" s="25"/>
      <x:c r="T302" s="25"/>
      <x:c r="U302" s="25"/>
      <x:c r="V302" s="25"/>
    </x:row>
    <x:row r="303" ht="32" customHeight="1">
      <x:c r="A303" s="26" t="str">
        <x:v>ID</x:v>
      </x:c>
      <x:c r="B303" s="26" t="str">
        <x:v>Part Name</x:v>
      </x:c>
      <x:c r="C303" s="26" t="str">
        <x:v>Data Status</x:v>
      </x:c>
      <x:c r="D303" s="26" t="str">
        <x:v>Internal Label</x:v>
      </x:c>
      <x:c r="E303" s="26" t="str">
        <x:v>AP</x:v>
      </x:c>
      <x:c r="F303" s="26" t="str">
        <x:v>Weight</x:v>
      </x:c>
      <x:c r="G303" s="26" t="str">
        <x:v>EN Load</x:v>
      </x:c>
      <x:c r="H303" s="26" t="str">
        <x:v>Kinetic Defense</x:v>
      </x:c>
      <x:c r="I303" s="26" t="str">
        <x:v>Energy Defense</x:v>
      </x:c>
      <x:c r="J303" s="26" t="str">
        <x:v>Explosive Defense</x:v>
      </x:c>
      <x:c r="K303" s="26" t="str">
        <x:v>Recoil Control</x:v>
      </x:c>
      <x:c r="L303" s="26" t="str">
        <x:v>Arms Load Limit</x:v>
      </x:c>
      <x:c r="M303" s="26" t="str">
        <x:v>Firearm Specialization</x:v>
      </x:c>
      <x:c r="N303" s="26" t="str">
        <x:v>Melee Specialization</x:v>
      </x:c>
      <x:c r="O303" s="26" t="str">
        <x:v>Model ID</x:v>
      </x:c>
      <x:c r="P303" s="25"/>
      <x:c r="Q303" s="25"/>
      <x:c r="R303" s="25"/>
      <x:c r="S303" s="25"/>
      <x:c r="T303" s="25"/>
      <x:c r="U303" s="25"/>
      <x:c r="V303" s="25"/>
    </x:row>
    <x:row r="304">
      <x:c r="A304" s="27" t="str">
        <x:v>52000000</x:v>
      </x:c>
      <x:c r="B304" s="28" t="str">
        <x:v>AR-011 MELANDER</x:v>
      </x:c>
      <x:c r="C304" s="28" t="str">
        <x:v>Available</x:v>
      </x:c>
      <x:c r="D304" s="28" t="str">
        <x:v>ARMS - AR-011 MELANDER</x:v>
      </x:c>
      <x:c r="E304" s="28" t="n">
        <x:v>2260</x:v>
      </x:c>
      <x:c r="F304" s="28" t="n">
        <x:v>13650</x:v>
      </x:c>
      <x:c r="G304" s="28" t="n">
        <x:v>265</x:v>
      </x:c>
      <x:c r="H304" s="28" t="n">
        <x:v>800</x:v>
      </x:c>
      <x:c r="I304" s="28" t="n">
        <x:v>650</x:v>
      </x:c>
      <x:c r="J304" s="28" t="n">
        <x:v>3.4</x:v>
      </x:c>
      <x:c r="K304" s="28" t="n">
        <x:v>128</x:v>
      </x:c>
      <x:c r="L304" s="28" t="n">
        <x:v>15100</x:v>
      </x:c>
      <x:c r="M304" s="28" t="n">
        <x:v>100</x:v>
      </x:c>
      <x:c r="N304" s="28" t="n">
        <x:v>124</x:v>
      </x:c>
      <x:c r="O304" s="28" t="str">
        <x:v>1010</x:v>
      </x:c>
      <x:c r="P304" s="25"/>
      <x:c r="Q304" s="25"/>
      <x:c r="R304" s="25"/>
      <x:c r="S304" s="25"/>
      <x:c r="T304" s="25"/>
      <x:c r="U304" s="25"/>
      <x:c r="V304" s="25"/>
    </x:row>
    <x:row r="305">
      <x:c r="A305" s="29" t="str">
        <x:v>52000100</x:v>
      </x:c>
      <x:c r="B305" s="30" t="str">
        <x:v>AS-5000 SALAD</x:v>
      </x:c>
      <x:c r="C305" s="30" t="str">
        <x:v>Available</x:v>
      </x:c>
      <x:c r="D305" s="30" t="str">
        <x:v>ARMS - AS-5000 SALAD</x:v>
      </x:c>
      <x:c r="E305" s="30" t="n">
        <x:v>2600</x:v>
      </x:c>
      <x:c r="F305" s="30" t="n">
        <x:v>20940</x:v>
      </x:c>
      <x:c r="G305" s="30" t="n">
        <x:v>218</x:v>
      </x:c>
      <x:c r="H305" s="30" t="n">
        <x:v>800</x:v>
      </x:c>
      <x:c r="I305" s="30" t="n">
        <x:v>650</x:v>
      </x:c>
      <x:c r="J305" s="30" t="n">
        <x:v>5.5</x:v>
      </x:c>
      <x:c r="K305" s="30" t="n">
        <x:v>140</x:v>
      </x:c>
      <x:c r="L305" s="30" t="n">
        <x:v>18700</x:v>
      </x:c>
      <x:c r="M305" s="30" t="n">
        <x:v>100</x:v>
      </x:c>
      <x:c r="N305" s="30" t="n">
        <x:v>131</x:v>
      </x:c>
      <x:c r="O305" s="30" t="str">
        <x:v>1080</x:v>
      </x:c>
      <x:c r="P305" s="25"/>
      <x:c r="Q305" s="25"/>
      <x:c r="R305" s="25"/>
      <x:c r="S305" s="25"/>
      <x:c r="T305" s="25"/>
      <x:c r="U305" s="25"/>
      <x:c r="V305" s="25"/>
    </x:row>
    <x:row r="306">
      <x:c r="A306" s="29" t="str">
        <x:v>52000300</x:v>
      </x:c>
      <x:c r="B306" s="30" t="str">
        <x:v>AR-012 MELANDER C3</x:v>
      </x:c>
      <x:c r="C306" s="30" t="str">
        <x:v>Available</x:v>
      </x:c>
      <x:c r="D306" s="30" t="str">
        <x:v>ARMS - AR-012 MELANDER C3</x:v>
      </x:c>
      <x:c r="E306" s="30" t="n">
        <x:v>2010</x:v>
      </x:c>
      <x:c r="F306" s="30" t="n">
        <x:v>12000</x:v>
      </x:c>
      <x:c r="G306" s="30" t="n">
        <x:v>232</x:v>
      </x:c>
      <x:c r="H306" s="30" t="n">
        <x:v>800</x:v>
      </x:c>
      <x:c r="I306" s="30" t="n">
        <x:v>650</x:v>
      </x:c>
      <x:c r="J306" s="30" t="n">
        <x:v>3.3</x:v>
      </x:c>
      <x:c r="K306" s="30" t="n">
        <x:v>102</x:v>
      </x:c>
      <x:c r="L306" s="30" t="n">
        <x:v>12000</x:v>
      </x:c>
      <x:c r="M306" s="30" t="n">
        <x:v>100</x:v>
      </x:c>
      <x:c r="N306" s="30" t="n">
        <x:v>110</x:v>
      </x:c>
      <x:c r="O306" s="30" t="str">
        <x:v>1011</x:v>
      </x:c>
      <x:c r="P306" s="25"/>
      <x:c r="Q306" s="25"/>
      <x:c r="R306" s="25"/>
      <x:c r="S306" s="25"/>
      <x:c r="T306" s="25"/>
      <x:c r="U306" s="25"/>
      <x:c r="V306" s="25"/>
    </x:row>
    <x:row r="307">
      <x:c r="A307" s="29" t="str">
        <x:v>52010000</x:v>
      </x:c>
      <x:c r="B307" s="30" t="str">
        <x:v>DF-AR-08 TIAN-QIANG</x:v>
      </x:c>
      <x:c r="C307" s="30" t="str">
        <x:v>Available</x:v>
      </x:c>
      <x:c r="D307" s="30" t="str">
        <x:v>ARMS - DF-AR-08 TIAN-QIANG</x:v>
      </x:c>
      <x:c r="E307" s="30" t="n">
        <x:v>2480</x:v>
      </x:c>
      <x:c r="F307" s="30" t="n">
        <x:v>20020</x:v>
      </x:c>
      <x:c r="G307" s="30" t="n">
        <x:v>295</x:v>
      </x:c>
      <x:c r="H307" s="30" t="n">
        <x:v>800</x:v>
      </x:c>
      <x:c r="I307" s="30" t="n">
        <x:v>650</x:v>
      </x:c>
      <x:c r="J307" s="30" t="n">
        <x:v>5.1</x:v>
      </x:c>
      <x:c r="K307" s="30" t="n">
        <x:v>155</x:v>
      </x:c>
      <x:c r="L307" s="30" t="n">
        <x:v>19500</x:v>
      </x:c>
      <x:c r="M307" s="30" t="n">
        <x:v>100</x:v>
      </x:c>
      <x:c r="N307" s="30" t="n">
        <x:v>94</x:v>
      </x:c>
      <x:c r="O307" s="30" t="str">
        <x:v>2010</x:v>
      </x:c>
      <x:c r="P307" s="25"/>
      <x:c r="Q307" s="25"/>
      <x:c r="R307" s="25"/>
      <x:c r="S307" s="25"/>
      <x:c r="T307" s="25"/>
      <x:c r="U307" s="25"/>
      <x:c r="V307" s="25"/>
    </x:row>
    <x:row r="308">
      <x:c r="A308" s="29" t="str">
        <x:v>52010100</x:v>
      </x:c>
      <x:c r="B308" s="30" t="str">
        <x:v>DF-AR-09 TIAN-LAO</x:v>
      </x:c>
      <x:c r="C308" s="30" t="str">
        <x:v>Available</x:v>
      </x:c>
      <x:c r="D308" s="30" t="str">
        <x:v>ARMS - DF-AR-09 TIAN-LAO</x:v>
      </x:c>
      <x:c r="E308" s="30" t="n">
        <x:v>2970</x:v>
      </x:c>
      <x:c r="F308" s="30" t="n">
        <x:v>26740</x:v>
      </x:c>
      <x:c r="G308" s="30" t="n">
        <x:v>266</x:v>
      </x:c>
      <x:c r="H308" s="30" t="n">
        <x:v>800</x:v>
      </x:c>
      <x:c r="I308" s="30" t="n">
        <x:v>650</x:v>
      </x:c>
      <x:c r="J308" s="30" t="n">
        <x:v>7.7</x:v>
      </x:c>
      <x:c r="K308" s="30" t="n">
        <x:v>145</x:v>
      </x:c>
      <x:c r="L308" s="30" t="n">
        <x:v>17200</x:v>
      </x:c>
      <x:c r="M308" s="30" t="n">
        <x:v>100</x:v>
      </x:c>
      <x:c r="N308" s="30" t="n">
        <x:v>81</x:v>
      </x:c>
      <x:c r="O308" s="30" t="str">
        <x:v>2210</x:v>
      </x:c>
      <x:c r="P308" s="25"/>
      <x:c r="Q308" s="25"/>
      <x:c r="R308" s="25"/>
      <x:c r="S308" s="25"/>
      <x:c r="T308" s="25"/>
      <x:c r="U308" s="25"/>
      <x:c r="V308" s="25"/>
    </x:row>
    <x:row r="309">
      <x:c r="A309" s="29" t="str">
        <x:v>52020000</x:v>
      </x:c>
      <x:c r="B309" s="30" t="str">
        <x:v>NACHTREIHER/46E</x:v>
      </x:c>
      <x:c r="C309" s="30" t="str">
        <x:v>Available</x:v>
      </x:c>
      <x:c r="D309" s="30" t="str">
        <x:v>ARMS - NACHTREIHER/46E</x:v>
      </x:c>
      <x:c r="E309" s="30" t="n">
        <x:v>1860</x:v>
      </x:c>
      <x:c r="F309" s="30" t="n">
        <x:v>11420</x:v>
      </x:c>
      <x:c r="G309" s="30" t="n">
        <x:v>290</x:v>
      </x:c>
      <x:c r="H309" s="30" t="n">
        <x:v>800</x:v>
      </x:c>
      <x:c r="I309" s="30" t="n">
        <x:v>650</x:v>
      </x:c>
      <x:c r="J309" s="30" t="n">
        <x:v>-0.5</x:v>
      </x:c>
      <x:c r="K309" s="30" t="n">
        <x:v>87</x:v>
      </x:c>
      <x:c r="L309" s="30" t="n">
        <x:v>12730</x:v>
      </x:c>
      <x:c r="M309" s="30" t="n">
        <x:v>100</x:v>
      </x:c>
      <x:c r="N309" s="30" t="n">
        <x:v>95</x:v>
      </x:c>
      <x:c r="O309" s="30" t="str">
        <x:v>3010</x:v>
      </x:c>
      <x:c r="P309" s="25"/>
      <x:c r="Q309" s="25"/>
      <x:c r="R309" s="25"/>
      <x:c r="S309" s="25"/>
      <x:c r="T309" s="25"/>
      <x:c r="U309" s="25"/>
      <x:c r="V309" s="25"/>
    </x:row>
    <x:row r="310">
      <x:c r="A310" s="29" t="str">
        <x:v>52030000</x:v>
      </x:c>
      <x:c r="B310" s="30" t="str">
        <x:v>VP-46S</x:v>
      </x:c>
      <x:c r="C310" s="30" t="str">
        <x:v>Available</x:v>
      </x:c>
      <x:c r="D310" s="30" t="str">
        <x:v>ARMS - VP-46S</x:v>
      </x:c>
      <x:c r="E310" s="30" t="n">
        <x:v>2240</x:v>
      </x:c>
      <x:c r="F310" s="30" t="n">
        <x:v>14020</x:v>
      </x:c>
      <x:c r="G310" s="30" t="n">
        <x:v>278</x:v>
      </x:c>
      <x:c r="H310" s="30" t="n">
        <x:v>800</x:v>
      </x:c>
      <x:c r="I310" s="30" t="n">
        <x:v>650</x:v>
      </x:c>
      <x:c r="J310" s="30" t="n">
        <x:v>1.8</x:v>
      </x:c>
      <x:c r="K310" s="30" t="n">
        <x:v>116</x:v>
      </x:c>
      <x:c r="L310" s="30" t="n">
        <x:v>14520</x:v>
      </x:c>
      <x:c r="M310" s="30" t="n">
        <x:v>100</x:v>
      </x:c>
      <x:c r="N310" s="30" t="n">
        <x:v>138</x:v>
      </x:c>
      <x:c r="O310" s="30" t="str">
        <x:v>4010</x:v>
      </x:c>
      <x:c r="P310" s="25"/>
      <x:c r="Q310" s="25"/>
      <x:c r="R310" s="25"/>
      <x:c r="S310" s="25"/>
      <x:c r="T310" s="25"/>
      <x:c r="U310" s="25"/>
      <x:c r="V310" s="25"/>
    </x:row>
    <x:row r="311">
      <x:c r="A311" s="29" t="str">
        <x:v>52030100</x:v>
      </x:c>
      <x:c r="B311" s="30" t="str">
        <x:v>VP-46D</x:v>
      </x:c>
      <x:c r="C311" s="30" t="str">
        <x:v>Available</x:v>
      </x:c>
      <x:c r="D311" s="30" t="str">
        <x:v>ARMS - VP-46D</x:v>
      </x:c>
      <x:c r="E311" s="30" t="n">
        <x:v>1620</x:v>
      </x:c>
      <x:c r="F311" s="30" t="n">
        <x:v>10990</x:v>
      </x:c>
      <x:c r="G311" s="30" t="n">
        <x:v>248</x:v>
      </x:c>
      <x:c r="H311" s="30" t="n">
        <x:v>800</x:v>
      </x:c>
      <x:c r="I311" s="30" t="n">
        <x:v>650</x:v>
      </x:c>
      <x:c r="J311" s="30" t="n">
        <x:v>-1</x:v>
      </x:c>
      <x:c r="K311" s="30" t="n">
        <x:v>105</x:v>
      </x:c>
      <x:c r="L311" s="30" t="n">
        <x:v>11800</x:v>
      </x:c>
      <x:c r="M311" s="30" t="n">
        <x:v>100</x:v>
      </x:c>
      <x:c r="N311" s="30" t="n">
        <x:v>139</x:v>
      </x:c>
      <x:c r="O311" s="30" t="str">
        <x:v>4210</x:v>
      </x:c>
      <x:c r="P311" s="25"/>
      <x:c r="Q311" s="25"/>
      <x:c r="R311" s="25"/>
      <x:c r="S311" s="25"/>
      <x:c r="T311" s="25"/>
      <x:c r="U311" s="25"/>
      <x:c r="V311" s="25"/>
    </x:row>
    <x:row r="312">
      <x:c r="A312" s="29" t="str">
        <x:v>52040000</x:v>
      </x:c>
      <x:c r="B312" s="30" t="str">
        <x:v>VE-46A</x:v>
      </x:c>
      <x:c r="C312" s="30" t="str">
        <x:v>Available</x:v>
      </x:c>
      <x:c r="D312" s="30" t="str">
        <x:v>ARMS - VE-46A</x:v>
      </x:c>
      <x:c r="E312" s="30" t="n">
        <x:v>2660</x:v>
      </x:c>
      <x:c r="F312" s="30" t="n">
        <x:v>22210</x:v>
      </x:c>
      <x:c r="G312" s="30" t="n">
        <x:v>380</x:v>
      </x:c>
      <x:c r="H312" s="30" t="n">
        <x:v>800</x:v>
      </x:c>
      <x:c r="I312" s="30" t="n">
        <x:v>650</x:v>
      </x:c>
      <x:c r="J312" s="30" t="n">
        <x:v>5.7</x:v>
      </x:c>
      <x:c r="K312" s="30" t="n">
        <x:v>170</x:v>
      </x:c>
      <x:c r="L312" s="30" t="n">
        <x:v>21300</x:v>
      </x:c>
      <x:c r="M312" s="30" t="n">
        <x:v>100</x:v>
      </x:c>
      <x:c r="N312" s="30" t="n">
        <x:v>98</x:v>
      </x:c>
      <x:c r="O312" s="30" t="str">
        <x:v>5010</x:v>
      </x:c>
      <x:c r="P312" s="25"/>
      <x:c r="Q312" s="25"/>
      <x:c r="R312" s="25"/>
      <x:c r="S312" s="25"/>
      <x:c r="T312" s="25"/>
      <x:c r="U312" s="25"/>
      <x:c r="V312" s="25"/>
    </x:row>
    <x:row r="313">
      <x:c r="A313" s="29" t="str">
        <x:v>52050000</x:v>
      </x:c>
      <x:c r="B313" s="30" t="str">
        <x:v>04-101 MIND ALPHA</x:v>
      </x:c>
      <x:c r="C313" s="30" t="str">
        <x:v>Available</x:v>
      </x:c>
      <x:c r="D313" s="30" t="str">
        <x:v>ARMS - 04-101 MIND ALPHA</x:v>
      </x:c>
      <x:c r="E313" s="30" t="n">
        <x:v>2300</x:v>
      </x:c>
      <x:c r="F313" s="30" t="n">
        <x:v>16960</x:v>
      </x:c>
      <x:c r="G313" s="30" t="n">
        <x:v>358</x:v>
      </x:c>
      <x:c r="H313" s="30" t="n">
        <x:v>800</x:v>
      </x:c>
      <x:c r="I313" s="30" t="n">
        <x:v>650</x:v>
      </x:c>
      <x:c r="J313" s="30" t="n">
        <x:v>4.6</x:v>
      </x:c>
      <x:c r="K313" s="30" t="n">
        <x:v>142</x:v>
      </x:c>
      <x:c r="L313" s="30" t="n">
        <x:v>15550</x:v>
      </x:c>
      <x:c r="M313" s="30" t="n">
        <x:v>100</x:v>
      </x:c>
      <x:c r="N313" s="30" t="n">
        <x:v>88</x:v>
      </x:c>
      <x:c r="O313" s="30" t="str">
        <x:v>6010</x:v>
      </x:c>
      <x:c r="P313" s="25"/>
      <x:c r="Q313" s="25"/>
      <x:c r="R313" s="25"/>
      <x:c r="S313" s="25"/>
      <x:c r="T313" s="25"/>
      <x:c r="U313" s="25"/>
      <x:c r="V313" s="25"/>
    </x:row>
    <x:row r="314">
      <x:c r="A314" s="29" t="str">
        <x:v>52060000</x:v>
      </x:c>
      <x:c r="B314" s="30" t="str">
        <x:v>EL-TA-10 FIRMEZA</x:v>
      </x:c>
      <x:c r="C314" s="30" t="str">
        <x:v>Available</x:v>
      </x:c>
      <x:c r="D314" s="30" t="str">
        <x:v>ARMS - EL-TA-10 FIRMEZA</x:v>
      </x:c>
      <x:c r="E314" s="30" t="n">
        <x:v>1900</x:v>
      </x:c>
      <x:c r="F314" s="30" t="n">
        <x:v>11220</x:v>
      </x:c>
      <x:c r="G314" s="30" t="n">
        <x:v>270</x:v>
      </x:c>
      <x:c r="H314" s="30" t="n">
        <x:v>800</x:v>
      </x:c>
      <x:c r="I314" s="30" t="n">
        <x:v>650</x:v>
      </x:c>
      <x:c r="J314" s="30" t="n">
        <x:v>-1.3</x:v>
      </x:c>
      <x:c r="K314" s="30" t="n">
        <x:v>111</x:v>
      </x:c>
      <x:c r="L314" s="30" t="n">
        <x:v>13540</x:v>
      </x:c>
      <x:c r="M314" s="30" t="n">
        <x:v>100</x:v>
      </x:c>
      <x:c r="N314" s="30" t="n">
        <x:v>120</x:v>
      </x:c>
      <x:c r="O314" s="30" t="str">
        <x:v>7010</x:v>
      </x:c>
      <x:c r="P314" s="25"/>
      <x:c r="Q314" s="25"/>
      <x:c r="R314" s="25"/>
      <x:c r="S314" s="25"/>
      <x:c r="T314" s="25"/>
      <x:c r="U314" s="25"/>
      <x:c r="V314" s="25"/>
    </x:row>
    <x:row r="315">
      <x:c r="A315" s="29" t="str">
        <x:v>52070200</x:v>
      </x:c>
      <x:c r="B315" s="30" t="str">
        <x:v>AA-J-123 BASHO</x:v>
      </x:c>
      <x:c r="C315" s="30" t="str">
        <x:v>Available</x:v>
      </x:c>
      <x:c r="D315" s="30" t="str">
        <x:v>ARMS - AA-J-123 BASHO</x:v>
      </x:c>
      <x:c r="E315" s="30" t="n">
        <x:v>2430</x:v>
      </x:c>
      <x:c r="F315" s="30" t="n">
        <x:v>10480</x:v>
      </x:c>
      <x:c r="G315" s="30" t="n">
        <x:v>210</x:v>
      </x:c>
      <x:c r="H315" s="30" t="n">
        <x:v>800</x:v>
      </x:c>
      <x:c r="I315" s="30" t="n">
        <x:v>650</x:v>
      </x:c>
      <x:c r="J315" s="30" t="n">
        <x:v>2.5</x:v>
      </x:c>
      <x:c r="K315" s="30" t="n">
        <x:v>66</x:v>
      </x:c>
      <x:c r="L315" s="30" t="n">
        <x:v>10520</x:v>
      </x:c>
      <x:c r="M315" s="30" t="n">
        <x:v>100</x:v>
      </x:c>
      <x:c r="N315" s="30" t="n">
        <x:v>158</x:v>
      </x:c>
      <x:c r="O315" s="30" t="str">
        <x:v>8030</x:v>
      </x:c>
      <x:c r="P315" s="25"/>
      <x:c r="Q315" s="25"/>
      <x:c r="R315" s="25"/>
      <x:c r="S315" s="25"/>
      <x:c r="T315" s="25"/>
      <x:c r="U315" s="25"/>
      <x:c r="V315" s="25"/>
    </x:row>
    <x:row r="316">
      <x:c r="A316" s="29" t="str">
        <x:v>52070300</x:v>
      </x:c>
      <x:c r="B316" s="30" t="str">
        <x:v>AC-3000 WRECKER</x:v>
      </x:c>
      <x:c r="C316" s="30" t="str">
        <x:v>Available</x:v>
      </x:c>
      <x:c r="D316" s="30" t="str">
        <x:v>ARMS - AC-3000 WRECKER</x:v>
      </x:c>
      <x:c r="E316" s="30" t="n">
        <x:v>2030</x:v>
      </x:c>
      <x:c r="F316" s="30" t="n">
        <x:v>14150</x:v>
      </x:c>
      <x:c r="G316" s="30" t="n">
        <x:v>220</x:v>
      </x:c>
      <x:c r="H316" s="30" t="n">
        <x:v>800</x:v>
      </x:c>
      <x:c r="I316" s="30" t="n">
        <x:v>650</x:v>
      </x:c>
      <x:c r="J316" s="30" t="n">
        <x:v>3.7</x:v>
      </x:c>
      <x:c r="K316" s="30" t="n">
        <x:v>232</x:v>
      </x:c>
      <x:c r="L316" s="30" t="n">
        <x:v>15800</x:v>
      </x:c>
      <x:c r="M316" s="30" t="n">
        <x:v>100</x:v>
      </x:c>
      <x:c r="N316" s="30" t="n">
        <x:v>72</x:v>
      </x:c>
      <x:c r="O316" s="30" t="str">
        <x:v>8040</x:v>
      </x:c>
      <x:c r="P316" s="25"/>
      <x:c r="Q316" s="25"/>
      <x:c r="R316" s="25"/>
      <x:c r="S316" s="25"/>
      <x:c r="T316" s="25"/>
      <x:c r="U316" s="25"/>
      <x:c r="V316" s="25"/>
    </x:row>
    <x:row r="317">
      <x:c r="A317" s="29" t="str">
        <x:v>52070400</x:v>
      </x:c>
      <x:c r="B317" s="30" t="str">
        <x:v>AC-2000 TOOL ARM</x:v>
      </x:c>
      <x:c r="C317" s="30" t="str">
        <x:v>Available</x:v>
      </x:c>
      <x:c r="D317" s="30" t="str">
        <x:v>ARMS - AC-2000 TOOL ARM</x:v>
      </x:c>
      <x:c r="E317" s="30" t="n">
        <x:v>1990</x:v>
      </x:c>
      <x:c r="F317" s="30" t="n">
        <x:v>11300</x:v>
      </x:c>
      <x:c r="G317" s="30" t="n">
        <x:v>216</x:v>
      </x:c>
      <x:c r="H317" s="30" t="n">
        <x:v>800</x:v>
      </x:c>
      <x:c r="I317" s="30" t="n">
        <x:v>650</x:v>
      </x:c>
      <x:c r="J317" s="30" t="n">
        <x:v>0.9</x:v>
      </x:c>
      <x:c r="K317" s="30" t="n">
        <x:v>110</x:v>
      </x:c>
      <x:c r="L317" s="30" t="n">
        <x:v>13300</x:v>
      </x:c>
      <x:c r="M317" s="30" t="n">
        <x:v>100</x:v>
      </x:c>
      <x:c r="N317" s="30" t="n">
        <x:v>100</x:v>
      </x:c>
      <x:c r="O317" s="30" t="str">
        <x:v>1400</x:v>
      </x:c>
      <x:c r="P317" s="25"/>
      <x:c r="Q317" s="25"/>
      <x:c r="R317" s="25"/>
      <x:c r="S317" s="25"/>
      <x:c r="T317" s="25"/>
      <x:c r="U317" s="25"/>
      <x:c r="V317" s="25"/>
    </x:row>
    <x:row r="318">
      <x:c r="A318" s="29" t="str">
        <x:v>52080000</x:v>
      </x:c>
      <x:c r="B318" s="30" t="str">
        <x:v>IB-C03A: HAL 826</x:v>
      </x:c>
      <x:c r="C318" s="30" t="str">
        <x:v>Available</x:v>
      </x:c>
      <x:c r="D318" s="30" t="str">
        <x:v>ARMS - IB-C03A: HAL 826</x:v>
      </x:c>
      <x:c r="E318" s="30" t="n">
        <x:v>2210</x:v>
      </x:c>
      <x:c r="F318" s="30" t="n">
        <x:v>14160</x:v>
      </x:c>
      <x:c r="G318" s="30" t="n">
        <x:v>300</x:v>
      </x:c>
      <x:c r="H318" s="30" t="n">
        <x:v>800</x:v>
      </x:c>
      <x:c r="I318" s="30" t="n">
        <x:v>650</x:v>
      </x:c>
      <x:c r="J318" s="30" t="n">
        <x:v>3.6</x:v>
      </x:c>
      <x:c r="K318" s="30" t="n">
        <x:v>125</x:v>
      </x:c>
      <x:c r="L318" s="30" t="n">
        <x:v>14000</x:v>
      </x:c>
      <x:c r="M318" s="30" t="n">
        <x:v>100</x:v>
      </x:c>
      <x:c r="N318" s="30" t="n">
        <x:v>114</x:v>
      </x:c>
      <x:c r="O318" s="30" t="str">
        <x:v>8010</x:v>
      </x:c>
      <x:c r="P318" s="25"/>
      <x:c r="Q318" s="25"/>
      <x:c r="R318" s="25"/>
      <x:c r="S318" s="25"/>
      <x:c r="T318" s="25"/>
      <x:c r="U318" s="25"/>
      <x:c r="V318" s="25"/>
    </x:row>
    <x:row r="319">
      <x:c r="A319" s="29" t="str">
        <x:v>52080100</x:v>
      </x:c>
      <x:c r="B319" s="30" t="str">
        <x:v>IA-C01A: EPHEMERA</x:v>
      </x:c>
      <x:c r="C319" s="30" t="str">
        <x:v>Available</x:v>
      </x:c>
      <x:c r="D319" s="30" t="str">
        <x:v>ARMS - IA-C01A: EPHEMERA</x:v>
      </x:c>
      <x:c r="E319" s="30" t="n">
        <x:v>2380</x:v>
      </x:c>
      <x:c r="F319" s="30" t="n">
        <x:v>12700</x:v>
      </x:c>
      <x:c r="G319" s="30" t="n">
        <x:v>312</x:v>
      </x:c>
      <x:c r="H319" s="30" t="n">
        <x:v>800</x:v>
      </x:c>
      <x:c r="I319" s="30" t="n">
        <x:v>650</x:v>
      </x:c>
      <x:c r="J319" s="30" t="n">
        <x:v>5.6</x:v>
      </x:c>
      <x:c r="K319" s="30" t="n">
        <x:v>108</x:v>
      </x:c>
      <x:c r="L319" s="30" t="n">
        <x:v>12680</x:v>
      </x:c>
      <x:c r="M319" s="30" t="n">
        <x:v>100</x:v>
      </x:c>
      <x:c r="N319" s="30" t="n">
        <x:v>106</x:v>
      </x:c>
      <x:c r="O319" s="30" t="str">
        <x:v>8020</x:v>
      </x:c>
      <x:c r="P319" s="25"/>
      <x:c r="Q319" s="25"/>
      <x:c r="R319" s="25"/>
      <x:c r="S319" s="25"/>
      <x:c r="T319" s="25"/>
      <x:c r="U319" s="25"/>
      <x:c r="V319" s="25"/>
    </x:row>
    <x:row r="320">
      <x:c r="A320" s="29" t="str">
        <x:v>52080200</x:v>
      </x:c>
      <x:c r="B320" s="30" t="str">
        <x:v>EL-PA-00 ALBA</x:v>
      </x:c>
      <x:c r="C320" s="30" t="str">
        <x:v>Available</x:v>
      </x:c>
      <x:c r="D320" s="30" t="str">
        <x:v>ARMS - EL-PA-00 ALBA</x:v>
      </x:c>
      <x:c r="E320" s="30" t="n">
        <x:v>1750</x:v>
      </x:c>
      <x:c r="F320" s="30" t="n">
        <x:v>9810</x:v>
      </x:c>
      <x:c r="G320" s="30" t="n">
        <x:v>315</x:v>
      </x:c>
      <x:c r="H320" s="30" t="n">
        <x:v>800</x:v>
      </x:c>
      <x:c r="I320" s="30" t="n">
        <x:v>650</x:v>
      </x:c>
      <x:c r="J320" s="30" t="n">
        <x:v>0.5</x:v>
      </x:c>
      <x:c r="K320" s="30" t="n">
        <x:v>101</x:v>
      </x:c>
      <x:c r="L320" s="30" t="n">
        <x:v>11350</x:v>
      </x:c>
      <x:c r="M320" s="30" t="n">
        <x:v>100</x:v>
      </x:c>
      <x:c r="N320" s="30" t="n">
        <x:v>91</x:v>
      </x:c>
      <x:c r="O320" s="30" t="str">
        <x:v>8060</x:v>
      </x:c>
      <x:c r="P320" s="25"/>
      <x:c r="Q320" s="25"/>
      <x:c r="R320" s="25"/>
      <x:c r="S320" s="25"/>
      <x:c r="T320" s="25"/>
      <x:c r="U320" s="25"/>
      <x:c r="V320" s="25"/>
    </x:row>
    <x:row r="321">
      <x:c r="A321" s="29" t="str">
        <x:v>52080300</x:v>
      </x:c>
      <x:c r="B321" s="30" t="str">
        <x:v>LAMMERGEIER/46F</x:v>
      </x:c>
      <x:c r="C321" s="30" t="str">
        <x:v>Available</x:v>
      </x:c>
      <x:c r="D321" s="30" t="str">
        <x:v>ARMS - LAMMERGEIER/46F</x:v>
      </x:c>
      <x:c r="E321" s="30" t="n">
        <x:v>1590</x:v>
      </x:c>
      <x:c r="F321" s="30" t="n">
        <x:v>9700</x:v>
      </x:c>
      <x:c r="G321" s="30" t="n">
        <x:v>328</x:v>
      </x:c>
      <x:c r="H321" s="30" t="n">
        <x:v>800</x:v>
      </x:c>
      <x:c r="I321" s="30" t="n">
        <x:v>650</x:v>
      </x:c>
      <x:c r="J321" s="30" t="n">
        <x:v>-2</x:v>
      </x:c>
      <x:c r="K321" s="30" t="n">
        <x:v>134</x:v>
      </x:c>
      <x:c r="L321" s="30" t="n">
        <x:v>11970</x:v>
      </x:c>
      <x:c r="M321" s="30" t="n">
        <x:v>100</x:v>
      </x:c>
      <x:c r="N321" s="30" t="n">
        <x:v>115</x:v>
      </x:c>
      <x:c r="O321" s="30" t="str">
        <x:v>8070</x:v>
      </x:c>
      <x:c r="P321" s="25"/>
      <x:c r="Q321" s="25"/>
      <x:c r="R321" s="25"/>
      <x:c r="S321" s="25"/>
      <x:c r="T321" s="25"/>
      <x:c r="U321" s="25"/>
      <x:c r="V321" s="25"/>
    </x:row>
    <x:row r="322">
      <x:c r="A322" s="31" t="str">
        <x:v>52900000</x:v>
      </x:c>
      <x:c r="B322" s="32" t="str">
        <x:v>AA-J-123/RC JAILBREAK</x:v>
      </x:c>
      <x:c r="C322" s="32" t="str">
        <x:v>Available</x:v>
      </x:c>
      <x:c r="D322" s="32" t="str">
        <x:v>ARMS - AA-J-123/RC JAILBREAK</x:v>
      </x:c>
      <x:c r="E322" s="32" t="n">
        <x:v>1000</x:v>
      </x:c>
      <x:c r="F322" s="32" t="n">
        <x:v>8480</x:v>
      </x:c>
      <x:c r="G322" s="32" t="n">
        <x:v>210</x:v>
      </x:c>
      <x:c r="H322" s="32" t="n">
        <x:v>800</x:v>
      </x:c>
      <x:c r="I322" s="32" t="n">
        <x:v>650</x:v>
      </x:c>
      <x:c r="J322" s="32" t="n">
        <x:v>1.5</x:v>
      </x:c>
      <x:c r="K322" s="32" t="n">
        <x:v>45</x:v>
      </x:c>
      <x:c r="L322" s="32" t="n">
        <x:v>10520</x:v>
      </x:c>
      <x:c r="M322" s="32" t="n">
        <x:v>100</x:v>
      </x:c>
      <x:c r="N322" s="32" t="n">
        <x:v>112</x:v>
      </x:c>
      <x:c r="O322" s="32" t="str">
        <x:v>8031</x:v>
      </x:c>
      <x:c r="P322" s="25"/>
      <x:c r="Q322" s="25"/>
      <x:c r="R322" s="25"/>
      <x:c r="S322" s="25"/>
      <x:c r="T322" s="25"/>
      <x:c r="U322" s="25"/>
      <x:c r="V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  <x:c r="I323" s="25"/>
      <x:c r="J323" s="25"/>
      <x:c r="K323" s="25"/>
      <x:c r="L323" s="25"/>
      <x:c r="M323" s="25"/>
      <x:c r="N323" s="25"/>
      <x:c r="O323" s="25"/>
      <x:c r="P323" s="25"/>
      <x:c r="Q323" s="25"/>
      <x:c r="R323" s="25"/>
      <x:c r="S323" s="25"/>
      <x:c r="T323" s="25"/>
      <x:c r="U323" s="25"/>
      <x:c r="V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  <x:c r="I324" s="25"/>
      <x:c r="J324" s="25"/>
      <x:c r="K324" s="25"/>
      <x:c r="L324" s="25"/>
      <x:c r="M324" s="25"/>
      <x:c r="N324" s="25"/>
      <x:c r="O324" s="25"/>
      <x:c r="P324" s="25"/>
      <x:c r="Q324" s="25"/>
      <x:c r="R324" s="25"/>
      <x:c r="S324" s="25"/>
      <x:c r="T324" s="25"/>
      <x:c r="U324" s="25"/>
      <x:c r="V324" s="25"/>
    </x:row>
    <x:row r="325" ht="25" customHeight="1">
      <x:c r="A325" s="23" t="str">
        <x:v>Armor — Legs  •  25 parts</x:v>
      </x:c>
      <x:c r="B325" s="23"/>
      <x:c r="C325" s="23"/>
      <x:c r="D325" s="23"/>
      <x:c r="E325" s="23"/>
      <x:c r="F325" s="23"/>
      <x:c r="G325" s="23"/>
      <x:c r="H325" s="23"/>
      <x:c r="I325" s="23"/>
      <x:c r="J325" s="23"/>
      <x:c r="K325" s="23"/>
      <x:c r="L325" s="23"/>
      <x:c r="M325" s="23"/>
      <x:c r="N325" s="23"/>
      <x:c r="O325" s="23"/>
      <x:c r="P325" s="25"/>
      <x:c r="Q325" s="25"/>
      <x:c r="R325" s="25"/>
      <x:c r="S325" s="25"/>
      <x:c r="T325" s="25"/>
      <x:c r="U325" s="25"/>
      <x:c r="V325" s="25"/>
    </x:row>
    <x:row r="326" ht="32" customHeight="1">
      <x:c r="A326" s="26" t="str">
        <x:v>ID</x:v>
      </x:c>
      <x:c r="B326" s="26" t="str">
        <x:v>Part Name</x:v>
      </x:c>
      <x:c r="C326" s="26" t="str">
        <x:v>Data Status</x:v>
      </x:c>
      <x:c r="D326" s="26" t="str">
        <x:v>Internal Label</x:v>
      </x:c>
      <x:c r="E326" s="26" t="str">
        <x:v>AP</x:v>
      </x:c>
      <x:c r="F326" s="26" t="str">
        <x:v>Weight</x:v>
      </x:c>
      <x:c r="G326" s="26" t="str">
        <x:v>EN Load</x:v>
      </x:c>
      <x:c r="H326" s="26" t="str">
        <x:v>Kinetic Defense</x:v>
      </x:c>
      <x:c r="I326" s="26" t="str">
        <x:v>Energy Defense</x:v>
      </x:c>
      <x:c r="J326" s="26" t="str">
        <x:v>Explosive Defense</x:v>
      </x:c>
      <x:c r="K326" s="26" t="str">
        <x:v>Attitude Stability</x:v>
      </x:c>
      <x:c r="L326" s="26" t="str">
        <x:v>Load Limit</x:v>
      </x:c>
      <x:c r="M326" s="26" t="str">
        <x:v>Jump Height</x:v>
      </x:c>
      <x:c r="N326" s="26" t="str">
        <x:v>Jump Distance Speed</x:v>
      </x:c>
      <x:c r="O326" s="26" t="str">
        <x:v>Model ID</x:v>
      </x:c>
      <x:c r="P326" s="25"/>
      <x:c r="Q326" s="25"/>
      <x:c r="R326" s="25"/>
      <x:c r="S326" s="25"/>
      <x:c r="T326" s="25"/>
      <x:c r="U326" s="25"/>
      <x:c r="V326" s="25"/>
    </x:row>
    <x:row r="327">
      <x:c r="A327" s="27" t="str">
        <x:v>53000000</x:v>
      </x:c>
      <x:c r="B327" s="28" t="str">
        <x:v>LG-011 MELANDER</x:v>
      </x:c>
      <x:c r="C327" s="28" t="str">
        <x:v>Available</x:v>
      </x:c>
      <x:c r="D327" s="28" t="str">
        <x:v>LEGS - LG-011 MELANDER</x:v>
      </x:c>
      <x:c r="E327" s="28" t="n">
        <x:v>4300</x:v>
      </x:c>
      <x:c r="F327" s="28" t="n">
        <x:v>17960</x:v>
      </x:c>
      <x:c r="G327" s="28" t="n">
        <x:v>365</x:v>
      </x:c>
      <x:c r="H327" s="28" t="n">
        <x:v>1550</x:v>
      </x:c>
      <x:c r="I327" s="28" t="n">
        <x:v>1400</x:v>
      </x:c>
      <x:c r="J327" s="28" t="n">
        <x:v>6.1</x:v>
      </x:c>
      <x:c r="K327" s="28" t="n">
        <x:v>843</x:v>
      </x:c>
      <x:c r="L327" s="28" t="n">
        <x:v>60520</x:v>
      </x:c>
      <x:c r="M327" s="28" t="n">
        <x:v>28</x:v>
      </x:c>
      <x:c r="N327" s="28" t="n">
        <x:v>400</x:v>
      </x:c>
      <x:c r="O327" s="28" t="str">
        <x:v>1010</x:v>
      </x:c>
      <x:c r="P327" s="25"/>
      <x:c r="Q327" s="25"/>
      <x:c r="R327" s="25"/>
      <x:c r="S327" s="25"/>
      <x:c r="T327" s="25"/>
      <x:c r="U327" s="25"/>
      <x:c r="V327" s="25"/>
    </x:row>
    <x:row r="328">
      <x:c r="A328" s="29" t="str">
        <x:v>53000100</x:v>
      </x:c>
      <x:c r="B328" s="30" t="str">
        <x:v>2S-5000 DESSERT</x:v>
      </x:c>
      <x:c r="C328" s="30" t="str">
        <x:v>Available</x:v>
      </x:c>
      <x:c r="D328" s="30" t="str">
        <x:v>LEGS - 2S-5000 DESSERT</x:v>
      </x:c>
      <x:c r="E328" s="30" t="n">
        <x:v>5290</x:v>
      </x:c>
      <x:c r="F328" s="30" t="n">
        <x:v>27180</x:v>
      </x:c>
      <x:c r="G328" s="30" t="n">
        <x:v>420</x:v>
      </x:c>
      <x:c r="H328" s="30" t="n">
        <x:v>1550</x:v>
      </x:c>
      <x:c r="I328" s="30" t="n">
        <x:v>1400</x:v>
      </x:c>
      <x:c r="J328" s="30" t="n">
        <x:v>6.9</x:v>
      </x:c>
      <x:c r="K328" s="30" t="n">
        <x:v>997</x:v>
      </x:c>
      <x:c r="L328" s="30" t="n">
        <x:v>77100</x:v>
      </x:c>
      <x:c r="M328" s="30" t="n">
        <x:v>19</x:v>
      </x:c>
      <x:c r="N328" s="30" t="n">
        <x:v>300</x:v>
      </x:c>
      <x:c r="O328" s="30" t="str">
        <x:v>1080</x:v>
      </x:c>
      <x:c r="P328" s="25"/>
      <x:c r="Q328" s="25"/>
      <x:c r="R328" s="25"/>
      <x:c r="S328" s="25"/>
      <x:c r="T328" s="25"/>
      <x:c r="U328" s="25"/>
      <x:c r="V328" s="25"/>
    </x:row>
    <x:row r="329">
      <x:c r="A329" s="29" t="str">
        <x:v>53000300</x:v>
      </x:c>
      <x:c r="B329" s="30" t="str">
        <x:v>LG-012 MELANDER C3</x:v>
      </x:c>
      <x:c r="C329" s="30" t="str">
        <x:v>Available</x:v>
      </x:c>
      <x:c r="D329" s="30" t="str">
        <x:v>LEGS - LG-012 MELANDER C3</x:v>
      </x:c>
      <x:c r="E329" s="30" t="n">
        <x:v>3980</x:v>
      </x:c>
      <x:c r="F329" s="30" t="n">
        <x:v>16520</x:v>
      </x:c>
      <x:c r="G329" s="30" t="n">
        <x:v>355</x:v>
      </x:c>
      <x:c r="H329" s="30" t="n">
        <x:v>1550</x:v>
      </x:c>
      <x:c r="I329" s="30" t="n">
        <x:v>1400</x:v>
      </x:c>
      <x:c r="J329" s="30" t="n">
        <x:v>5.7</x:v>
      </x:c>
      <x:c r="K329" s="30" t="n">
        <x:v>835</x:v>
      </x:c>
      <x:c r="L329" s="30" t="n">
        <x:v>55440</x:v>
      </x:c>
      <x:c r="M329" s="30" t="n">
        <x:v>30</x:v>
      </x:c>
      <x:c r="N329" s="30" t="n">
        <x:v>400</x:v>
      </x:c>
      <x:c r="O329" s="30" t="str">
        <x:v>1011</x:v>
      </x:c>
      <x:c r="P329" s="25"/>
      <x:c r="Q329" s="25"/>
      <x:c r="R329" s="25"/>
      <x:c r="S329" s="25"/>
      <x:c r="T329" s="25"/>
      <x:c r="U329" s="25"/>
      <x:c r="V329" s="25"/>
    </x:row>
    <x:row r="330">
      <x:c r="A330" s="29" t="str">
        <x:v>53010000</x:v>
      </x:c>
      <x:c r="B330" s="30" t="str">
        <x:v>DF-LG-08 TIAN-QIANG</x:v>
      </x:c>
      <x:c r="C330" s="30" t="str">
        <x:v>Available</x:v>
      </x:c>
      <x:c r="D330" s="30" t="str">
        <x:v>LEGS - DF-LG-08 TIAN-QIANG</x:v>
      </x:c>
      <x:c r="E330" s="30" t="n">
        <x:v>5300</x:v>
      </x:c>
      <x:c r="F330" s="30" t="n">
        <x:v>26950</x:v>
      </x:c>
      <x:c r="G330" s="30" t="n">
        <x:v>400</x:v>
      </x:c>
      <x:c r="H330" s="30" t="n">
        <x:v>1550</x:v>
      </x:c>
      <x:c r="I330" s="30" t="n">
        <x:v>1400</x:v>
      </x:c>
      <x:c r="J330" s="30" t="n">
        <x:v>9.5</x:v>
      </x:c>
      <x:c r="K330" s="30" t="n">
        <x:v>925</x:v>
      </x:c>
      <x:c r="L330" s="30" t="n">
        <x:v>82600</x:v>
      </x:c>
      <x:c r="M330" s="30" t="n">
        <x:v>20</x:v>
      </x:c>
      <x:c r="N330" s="30" t="n">
        <x:v>300</x:v>
      </x:c>
      <x:c r="O330" s="30" t="str">
        <x:v>2010</x:v>
      </x:c>
      <x:c r="P330" s="25"/>
      <x:c r="Q330" s="25"/>
      <x:c r="R330" s="25"/>
      <x:c r="S330" s="25"/>
      <x:c r="T330" s="25"/>
      <x:c r="U330" s="25"/>
      <x:c r="V330" s="25"/>
    </x:row>
    <x:row r="331">
      <x:c r="A331" s="29" t="str">
        <x:v>53020000</x:v>
      </x:c>
      <x:c r="B331" s="30" t="str">
        <x:v>NACHTREIHER/42E</x:v>
      </x:c>
      <x:c r="C331" s="30" t="str">
        <x:v>Available</x:v>
      </x:c>
      <x:c r="D331" s="30" t="str">
        <x:v>LEGS - NACHTREIHER/42E</x:v>
      </x:c>
      <x:c r="E331" s="30" t="n">
        <x:v>3460</x:v>
      </x:c>
      <x:c r="F331" s="30" t="n">
        <x:v>14030</x:v>
      </x:c>
      <x:c r="G331" s="30" t="n">
        <x:v>462</x:v>
      </x:c>
      <x:c r="H331" s="30" t="n">
        <x:v>1550</x:v>
      </x:c>
      <x:c r="I331" s="30" t="n">
        <x:v>1400</x:v>
      </x:c>
      <x:c r="J331" s="30" t="n">
        <x:v>-0.2</x:v>
      </x:c>
      <x:c r="K331" s="30" t="n">
        <x:v>662</x:v>
      </x:c>
      <x:c r="L331" s="30" t="n">
        <x:v>48650</x:v>
      </x:c>
      <x:c r="M331" s="30" t="n">
        <x:v>52</x:v>
      </x:c>
      <x:c r="N331" s="30" t="n">
        <x:v>400</x:v>
      </x:c>
      <x:c r="O331" s="30" t="str">
        <x:v>3010</x:v>
      </x:c>
      <x:c r="P331" s="25"/>
      <x:c r="Q331" s="25"/>
      <x:c r="R331" s="25"/>
      <x:c r="S331" s="25"/>
      <x:c r="T331" s="25"/>
      <x:c r="U331" s="25"/>
      <x:c r="V331" s="25"/>
    </x:row>
    <x:row r="332">
      <x:c r="A332" s="29" t="str">
        <x:v>53030000</x:v>
      </x:c>
      <x:c r="B332" s="30" t="str">
        <x:v>VP-422</x:v>
      </x:c>
      <x:c r="C332" s="30" t="str">
        <x:v>Available</x:v>
      </x:c>
      <x:c r="D332" s="30" t="str">
        <x:v>LEGS - VP-422</x:v>
      </x:c>
      <x:c r="E332" s="30" t="n">
        <x:v>4090</x:v>
      </x:c>
      <x:c r="F332" s="30" t="n">
        <x:v>17170</x:v>
      </x:c>
      <x:c r="G332" s="30" t="n">
        <x:v>387</x:v>
      </x:c>
      <x:c r="H332" s="30" t="n">
        <x:v>1550</x:v>
      </x:c>
      <x:c r="I332" s="30" t="n">
        <x:v>1400</x:v>
      </x:c>
      <x:c r="J332" s="30" t="n">
        <x:v>3.4</x:v>
      </x:c>
      <x:c r="K332" s="30" t="n">
        <x:v>830</x:v>
      </x:c>
      <x:c r="L332" s="30" t="n">
        <x:v>58620</x:v>
      </x:c>
      <x:c r="M332" s="30" t="n">
        <x:v>29</x:v>
      </x:c>
      <x:c r="N332" s="30" t="n">
        <x:v>400</x:v>
      </x:c>
      <x:c r="O332" s="30" t="str">
        <x:v>4010</x:v>
      </x:c>
      <x:c r="P332" s="25"/>
      <x:c r="Q332" s="25"/>
      <x:c r="R332" s="25"/>
      <x:c r="S332" s="25"/>
      <x:c r="T332" s="25"/>
      <x:c r="U332" s="25"/>
      <x:c r="V332" s="25"/>
    </x:row>
    <x:row r="333">
      <x:c r="A333" s="29" t="str">
        <x:v>53040000</x:v>
      </x:c>
      <x:c r="B333" s="30" t="str">
        <x:v>VE-42A</x:v>
      </x:c>
      <x:c r="C333" s="30" t="str">
        <x:v>Available</x:v>
      </x:c>
      <x:c r="D333" s="30" t="str">
        <x:v>LEGS - VE-42A</x:v>
      </x:c>
      <x:c r="E333" s="30" t="n">
        <x:v>5900</x:v>
      </x:c>
      <x:c r="F333" s="30" t="n">
        <x:v>31580</x:v>
      </x:c>
      <x:c r="G333" s="30" t="n">
        <x:v>465</x:v>
      </x:c>
      <x:c r="H333" s="30" t="n">
        <x:v>1550</x:v>
      </x:c>
      <x:c r="I333" s="30" t="n">
        <x:v>1400</x:v>
      </x:c>
      <x:c r="J333" s="30" t="n">
        <x:v>8.7</x:v>
      </x:c>
      <x:c r="K333" s="30" t="n">
        <x:v>977</x:v>
      </x:c>
      <x:c r="L333" s="30" t="n">
        <x:v>85700</x:v>
      </x:c>
      <x:c r="M333" s="30" t="n">
        <x:v>14</x:v>
      </x:c>
      <x:c r="N333" s="30" t="n">
        <x:v>200</x:v>
      </x:c>
      <x:c r="O333" s="30" t="str">
        <x:v>5010</x:v>
      </x:c>
      <x:c r="P333" s="25"/>
      <x:c r="Q333" s="25"/>
      <x:c r="R333" s="25"/>
      <x:c r="S333" s="25"/>
      <x:c r="T333" s="25"/>
      <x:c r="U333" s="25"/>
      <x:c r="V333" s="25"/>
    </x:row>
    <x:row r="334">
      <x:c r="A334" s="29" t="str">
        <x:v>53050000</x:v>
      </x:c>
      <x:c r="B334" s="30" t="str">
        <x:v>06-041 MIND ALPHA</x:v>
      </x:c>
      <x:c r="C334" s="30" t="str">
        <x:v>Available</x:v>
      </x:c>
      <x:c r="D334" s="30" t="str">
        <x:v>LEGS - 06-041 MIND ALPHA</x:v>
      </x:c>
      <x:c r="E334" s="30" t="n">
        <x:v>4560</x:v>
      </x:c>
      <x:c r="F334" s="30" t="n">
        <x:v>20810</x:v>
      </x:c>
      <x:c r="G334" s="30" t="n">
        <x:v>412</x:v>
      </x:c>
      <x:c r="H334" s="30" t="n">
        <x:v>1550</x:v>
      </x:c>
      <x:c r="I334" s="30" t="n">
        <x:v>1400</x:v>
      </x:c>
      <x:c r="J334" s="30" t="n">
        <x:v>5.6</x:v>
      </x:c>
      <x:c r="K334" s="30" t="n">
        <x:v>894</x:v>
      </x:c>
      <x:c r="L334" s="30" t="n">
        <x:v>63810</x:v>
      </x:c>
      <x:c r="M334" s="30" t="n">
        <x:v>25</x:v>
      </x:c>
      <x:c r="N334" s="30" t="n">
        <x:v>400</x:v>
      </x:c>
      <x:c r="O334" s="30" t="str">
        <x:v>6010</x:v>
      </x:c>
      <x:c r="P334" s="25"/>
      <x:c r="Q334" s="25"/>
      <x:c r="R334" s="25"/>
      <x:c r="S334" s="25"/>
      <x:c r="T334" s="25"/>
      <x:c r="U334" s="25"/>
      <x:c r="V334" s="25"/>
    </x:row>
    <x:row r="335">
      <x:c r="A335" s="29" t="str">
        <x:v>53060000</x:v>
      </x:c>
      <x:c r="B335" s="30" t="str">
        <x:v>EL-TL-10 FIRMEZA</x:v>
      </x:c>
      <x:c r="C335" s="30" t="str">
        <x:v>Available</x:v>
      </x:c>
      <x:c r="D335" s="30" t="str">
        <x:v>LEGS - EL-TL-10 FIRMEZA</x:v>
      </x:c>
      <x:c r="E335" s="30" t="n">
        <x:v>3600</x:v>
      </x:c>
      <x:c r="F335" s="30" t="n">
        <x:v>11200</x:v>
      </x:c>
      <x:c r="G335" s="30" t="n">
        <x:v>378</x:v>
      </x:c>
      <x:c r="H335" s="30" t="n">
        <x:v>1550</x:v>
      </x:c>
      <x:c r="I335" s="30" t="n">
        <x:v>1400</x:v>
      </x:c>
      <x:c r="J335" s="30" t="n">
        <x:v>-3</x:v>
      </x:c>
      <x:c r="K335" s="30" t="n">
        <x:v>737</x:v>
      </x:c>
      <x:c r="L335" s="30" t="n">
        <x:v>52100</x:v>
      </x:c>
      <x:c r="M335" s="30" t="n">
        <x:v>31</x:v>
      </x:c>
      <x:c r="N335" s="30" t="n">
        <x:v>400</x:v>
      </x:c>
      <x:c r="O335" s="30" t="str">
        <x:v>7010</x:v>
      </x:c>
      <x:c r="P335" s="25"/>
      <x:c r="Q335" s="25"/>
      <x:c r="R335" s="25"/>
      <x:c r="S335" s="25"/>
      <x:c r="T335" s="25"/>
      <x:c r="U335" s="25"/>
      <x:c r="V335" s="25"/>
    </x:row>
    <x:row r="336">
      <x:c r="A336" s="29" t="str">
        <x:v>53070200</x:v>
      </x:c>
      <x:c r="B336" s="30" t="str">
        <x:v>AL-J-121 BASHO</x:v>
      </x:c>
      <x:c r="C336" s="30" t="str">
        <x:v>Available</x:v>
      </x:c>
      <x:c r="D336" s="30" t="str">
        <x:v>LEGS - AL-J-121 BASHO</x:v>
      </x:c>
      <x:c r="E336" s="30" t="n">
        <x:v>4240</x:v>
      </x:c>
      <x:c r="F336" s="30" t="n">
        <x:v>19720</x:v>
      </x:c>
      <x:c r="G336" s="30" t="n">
        <x:v>300</x:v>
      </x:c>
      <x:c r="H336" s="30" t="n">
        <x:v>1550</x:v>
      </x:c>
      <x:c r="I336" s="30" t="n">
        <x:v>1400</x:v>
      </x:c>
      <x:c r="J336" s="30" t="n">
        <x:v>9.8</x:v>
      </x:c>
      <x:c r="K336" s="30" t="n">
        <x:v>824</x:v>
      </x:c>
      <x:c r="L336" s="30" t="n">
        <x:v>62600</x:v>
      </x:c>
      <x:c r="M336" s="30" t="n">
        <x:v>29</x:v>
      </x:c>
      <x:c r="N336" s="30" t="n">
        <x:v>400</x:v>
      </x:c>
      <x:c r="O336" s="30" t="str">
        <x:v>8030</x:v>
      </x:c>
      <x:c r="P336" s="25"/>
      <x:c r="Q336" s="25"/>
      <x:c r="R336" s="25"/>
      <x:c r="S336" s="25"/>
      <x:c r="T336" s="25"/>
      <x:c r="U336" s="25"/>
      <x:c r="V336" s="25"/>
    </x:row>
    <x:row r="337">
      <x:c r="A337" s="29" t="str">
        <x:v>53070300</x:v>
      </x:c>
      <x:c r="B337" s="30" t="str">
        <x:v>2C-3000 WRECKER</x:v>
      </x:c>
      <x:c r="C337" s="30" t="str">
        <x:v>Available</x:v>
      </x:c>
      <x:c r="D337" s="30" t="str">
        <x:v>LEGS - 2C-3000 WRECKER</x:v>
      </x:c>
      <x:c r="E337" s="30" t="n">
        <x:v>5220</x:v>
      </x:c>
      <x:c r="F337" s="30" t="n">
        <x:v>23230</x:v>
      </x:c>
      <x:c r="G337" s="30" t="n">
        <x:v>680</x:v>
      </x:c>
      <x:c r="H337" s="30" t="n">
        <x:v>1550</x:v>
      </x:c>
      <x:c r="I337" s="30" t="n">
        <x:v>1400</x:v>
      </x:c>
      <x:c r="J337" s="30" t="n">
        <x:v>9.3</x:v>
      </x:c>
      <x:c r="K337" s="30" t="n">
        <x:v>1003</x:v>
      </x:c>
      <x:c r="L337" s="30" t="n">
        <x:v>68900</x:v>
      </x:c>
      <x:c r="M337" s="30" t="n">
        <x:v>17</x:v>
      </x:c>
      <x:c r="N337" s="30" t="n">
        <x:v>300</x:v>
      </x:c>
      <x:c r="O337" s="30" t="str">
        <x:v>8040</x:v>
      </x:c>
      <x:c r="P337" s="25"/>
      <x:c r="Q337" s="25"/>
      <x:c r="R337" s="25"/>
      <x:c r="S337" s="25"/>
      <x:c r="T337" s="25"/>
      <x:c r="U337" s="25"/>
      <x:c r="V337" s="25"/>
    </x:row>
    <x:row r="338">
      <x:c r="A338" s="29" t="str">
        <x:v>53070400</x:v>
      </x:c>
      <x:c r="B338" s="30" t="str">
        <x:v>2C-2000 CRAWLER</x:v>
      </x:c>
      <x:c r="C338" s="30" t="str">
        <x:v>Available</x:v>
      </x:c>
      <x:c r="D338" s="30" t="str">
        <x:v>LEGS - 2C-2000 CRAWLER</x:v>
      </x:c>
      <x:c r="E338" s="30" t="n">
        <x:v>3650</x:v>
      </x:c>
      <x:c r="F338" s="30" t="n">
        <x:v>16300</x:v>
      </x:c>
      <x:c r="G338" s="30" t="n">
        <x:v>280</x:v>
      </x:c>
      <x:c r="H338" s="30" t="n">
        <x:v>1550</x:v>
      </x:c>
      <x:c r="I338" s="30" t="n">
        <x:v>1400</x:v>
      </x:c>
      <x:c r="J338" s="30" t="n">
        <x:v>3.7</x:v>
      </x:c>
      <x:c r="K338" s="30" t="n">
        <x:v>799</x:v>
      </x:c>
      <x:c r="L338" s="30" t="n">
        <x:v>53700</x:v>
      </x:c>
      <x:c r="M338" s="30" t="n">
        <x:v>27</x:v>
      </x:c>
      <x:c r="N338" s="30" t="n">
        <x:v>400</x:v>
      </x:c>
      <x:c r="O338" s="30" t="str">
        <x:v>1400</x:v>
      </x:c>
      <x:c r="P338" s="25"/>
      <x:c r="Q338" s="25"/>
      <x:c r="R338" s="25"/>
      <x:c r="S338" s="25"/>
      <x:c r="T338" s="25"/>
      <x:c r="U338" s="25"/>
      <x:c r="V338" s="25"/>
    </x:row>
    <x:row r="339">
      <x:c r="A339" s="29" t="str">
        <x:v>53080000</x:v>
      </x:c>
      <x:c r="B339" s="30" t="str">
        <x:v>IB-C03L: HAL 826</x:v>
      </x:c>
      <x:c r="C339" s="30" t="str">
        <x:v>Available</x:v>
      </x:c>
      <x:c r="D339" s="30" t="str">
        <x:v>LEGS - IB-C03L: HAL 826</x:v>
      </x:c>
      <x:c r="E339" s="30" t="n">
        <x:v>4320</x:v>
      </x:c>
      <x:c r="F339" s="30" t="n">
        <x:v>20190</x:v>
      </x:c>
      <x:c r="G339" s="30" t="n">
        <x:v>345</x:v>
      </x:c>
      <x:c r="H339" s="30" t="n">
        <x:v>1550</x:v>
      </x:c>
      <x:c r="I339" s="30" t="n">
        <x:v>1400</x:v>
      </x:c>
      <x:c r="J339" s="30" t="n">
        <x:v>5.1</x:v>
      </x:c>
      <x:c r="K339" s="30" t="n">
        <x:v>906</x:v>
      </x:c>
      <x:c r="L339" s="30" t="n">
        <x:v>64900</x:v>
      </x:c>
      <x:c r="M339" s="30" t="n">
        <x:v>31</x:v>
      </x:c>
      <x:c r="N339" s="30" t="n">
        <x:v>400</x:v>
      </x:c>
      <x:c r="O339" s="30" t="str">
        <x:v>8010</x:v>
      </x:c>
      <x:c r="P339" s="25"/>
      <x:c r="Q339" s="25"/>
      <x:c r="R339" s="25"/>
      <x:c r="S339" s="25"/>
      <x:c r="T339" s="25"/>
      <x:c r="U339" s="25"/>
      <x:c r="V339" s="25"/>
    </x:row>
    <x:row r="340">
      <x:c r="A340" s="29" t="str">
        <x:v>53080100</x:v>
      </x:c>
      <x:c r="B340" s="30" t="str">
        <x:v>IA-C01L: EPHEMERA</x:v>
      </x:c>
      <x:c r="C340" s="30" t="str">
        <x:v>Available</x:v>
      </x:c>
      <x:c r="D340" s="30" t="str">
        <x:v>LEGS - IA-C01L: EPHEMERA</x:v>
      </x:c>
      <x:c r="E340" s="30" t="n">
        <x:v>3800</x:v>
      </x:c>
      <x:c r="F340" s="30" t="n">
        <x:v>14560</x:v>
      </x:c>
      <x:c r="G340" s="30" t="n">
        <x:v>398</x:v>
      </x:c>
      <x:c r="H340" s="30" t="n">
        <x:v>1550</x:v>
      </x:c>
      <x:c r="I340" s="30" t="n">
        <x:v>1400</x:v>
      </x:c>
      <x:c r="J340" s="30" t="n">
        <x:v>5.2</x:v>
      </x:c>
      <x:c r="K340" s="30" t="n">
        <x:v>805</x:v>
      </x:c>
      <x:c r="L340" s="30" t="n">
        <x:v>55050</x:v>
      </x:c>
      <x:c r="M340" s="30" t="n">
        <x:v>30</x:v>
      </x:c>
      <x:c r="N340" s="30" t="n">
        <x:v>400</x:v>
      </x:c>
      <x:c r="O340" s="30" t="str">
        <x:v>8020</x:v>
      </x:c>
      <x:c r="P340" s="25"/>
      <x:c r="Q340" s="25"/>
      <x:c r="R340" s="25"/>
      <x:c r="S340" s="25"/>
      <x:c r="T340" s="25"/>
      <x:c r="U340" s="25"/>
      <x:c r="V340" s="25"/>
    </x:row>
    <x:row r="341">
      <x:c r="A341" s="29" t="str">
        <x:v>53080200</x:v>
      </x:c>
      <x:c r="B341" s="30" t="str">
        <x:v>EL-PL-00 ALBA</x:v>
      </x:c>
      <x:c r="C341" s="30" t="str">
        <x:v>Available</x:v>
      </x:c>
      <x:c r="D341" s="30" t="str">
        <x:v>LEGS - EL-PL-00 ALBA</x:v>
      </x:c>
      <x:c r="E341" s="30" t="n">
        <x:v>3850</x:v>
      </x:c>
      <x:c r="F341" s="30" t="n">
        <x:v>13150</x:v>
      </x:c>
      <x:c r="G341" s="30" t="n">
        <x:v>360</x:v>
      </x:c>
      <x:c r="H341" s="30" t="n">
        <x:v>1550</x:v>
      </x:c>
      <x:c r="I341" s="30" t="n">
        <x:v>1400</x:v>
      </x:c>
      <x:c r="J341" s="30" t="n">
        <x:v>1.6</x:v>
      </x:c>
      <x:c r="K341" s="30" t="n">
        <x:v>809</x:v>
      </x:c>
      <x:c r="L341" s="30" t="n">
        <x:v>50100</x:v>
      </x:c>
      <x:c r="M341" s="30" t="n">
        <x:v>37</x:v>
      </x:c>
      <x:c r="N341" s="30" t="n">
        <x:v>400</x:v>
      </x:c>
      <x:c r="O341" s="30" t="str">
        <x:v>8060</x:v>
      </x:c>
      <x:c r="P341" s="25"/>
      <x:c r="Q341" s="25"/>
      <x:c r="R341" s="25"/>
      <x:c r="S341" s="25"/>
      <x:c r="T341" s="25"/>
      <x:c r="U341" s="25"/>
      <x:c r="V341" s="25"/>
    </x:row>
    <x:row r="342">
      <x:c r="A342" s="29" t="str">
        <x:v>53120000</x:v>
      </x:c>
      <x:c r="B342" s="30" t="str">
        <x:v>KASUAR/42Z</x:v>
      </x:c>
      <x:c r="C342" s="30" t="str">
        <x:v>Available</x:v>
      </x:c>
      <x:c r="D342" s="30" t="str">
        <x:v>LEGS - KASUAR/42Z</x:v>
      </x:c>
      <x:c r="E342" s="30" t="n">
        <x:v>3580</x:v>
      </x:c>
      <x:c r="F342" s="30" t="n">
        <x:v>16510</x:v>
      </x:c>
      <x:c r="G342" s="30" t="n">
        <x:v>388</x:v>
      </x:c>
      <x:c r="H342" s="30" t="n">
        <x:v>1550</x:v>
      </x:c>
      <x:c r="I342" s="30" t="n">
        <x:v>1400</x:v>
      </x:c>
      <x:c r="J342" s="30" t="n">
        <x:v>-1</x:v>
      </x:c>
      <x:c r="K342" s="30" t="n">
        <x:v>686</x:v>
      </x:c>
      <x:c r="L342" s="30" t="n">
        <x:v>49280</x:v>
      </x:c>
      <x:c r="M342" s="30" t="n">
        <x:v>80</x:v>
      </x:c>
      <x:c r="N342" s="30" t="n">
        <x:v>400</x:v>
      </x:c>
      <x:c r="O342" s="30" t="str">
        <x:v>3310</x:v>
      </x:c>
      <x:c r="P342" s="25"/>
      <x:c r="Q342" s="25"/>
      <x:c r="R342" s="25"/>
      <x:c r="S342" s="25"/>
      <x:c r="T342" s="25"/>
      <x:c r="U342" s="25"/>
      <x:c r="V342" s="25"/>
    </x:row>
    <x:row r="343">
      <x:c r="A343" s="29" t="str">
        <x:v>53150000</x:v>
      </x:c>
      <x:c r="B343" s="30" t="str">
        <x:v>06-042 MIND BETA</x:v>
      </x:c>
      <x:c r="C343" s="30" t="str">
        <x:v>Available</x:v>
      </x:c>
      <x:c r="D343" s="30" t="str">
        <x:v>LEGS - 06-042 MIND BETA</x:v>
      </x:c>
      <x:c r="E343" s="30" t="n">
        <x:v>4020</x:v>
      </x:c>
      <x:c r="F343" s="30" t="n">
        <x:v>19750</x:v>
      </x:c>
      <x:c r="G343" s="30" t="n">
        <x:v>426</x:v>
      </x:c>
      <x:c r="H343" s="30" t="n">
        <x:v>1550</x:v>
      </x:c>
      <x:c r="I343" s="30" t="n">
        <x:v>1400</x:v>
      </x:c>
      <x:c r="J343" s="30" t="n">
        <x:v>6.4</x:v>
      </x:c>
      <x:c r="K343" s="30" t="n">
        <x:v>788</x:v>
      </x:c>
      <x:c r="L343" s="30" t="n">
        <x:v>61600</x:v>
      </x:c>
      <x:c r="M343" s="30" t="n">
        <x:v>60</x:v>
      </x:c>
      <x:c r="N343" s="30" t="n">
        <x:v>400</x:v>
      </x:c>
      <x:c r="O343" s="30" t="str">
        <x:v>6320</x:v>
      </x:c>
      <x:c r="P343" s="25"/>
      <x:c r="Q343" s="25"/>
      <x:c r="R343" s="25"/>
      <x:c r="S343" s="25"/>
      <x:c r="T343" s="25"/>
      <x:c r="U343" s="25"/>
      <x:c r="V343" s="25"/>
    </x:row>
    <x:row r="344">
      <x:c r="A344" s="29" t="str">
        <x:v>53170400</x:v>
      </x:c>
      <x:c r="B344" s="30" t="str">
        <x:v>RC-2000 SPRING CHICKEN</x:v>
      </x:c>
      <x:c r="C344" s="30" t="str">
        <x:v>Available</x:v>
      </x:c>
      <x:c r="D344" s="30" t="str">
        <x:v>LEGS - RC-2000 SPRING CHICKEN</x:v>
      </x:c>
      <x:c r="E344" s="30" t="n">
        <x:v>4410</x:v>
      </x:c>
      <x:c r="F344" s="30" t="n">
        <x:v>25340</x:v>
      </x:c>
      <x:c r="G344" s="30" t="n">
        <x:v>402</x:v>
      </x:c>
      <x:c r="H344" s="30" t="n">
        <x:v>1550</x:v>
      </x:c>
      <x:c r="I344" s="30" t="n">
        <x:v>1400</x:v>
      </x:c>
      <x:c r="J344" s="30" t="n">
        <x:v>8</x:v>
      </x:c>
      <x:c r="K344" s="30" t="n">
        <x:v>841</x:v>
      </x:c>
      <x:c r="L344" s="30" t="n">
        <x:v>73360</x:v>
      </x:c>
      <x:c r="M344" s="30" t="n">
        <x:v>70</x:v>
      </x:c>
      <x:c r="N344" s="30" t="n">
        <x:v>400</x:v>
      </x:c>
      <x:c r="O344" s="30" t="str">
        <x:v>8350</x:v>
      </x:c>
      <x:c r="P344" s="25"/>
      <x:c r="Q344" s="25"/>
      <x:c r="R344" s="25"/>
      <x:c r="S344" s="25"/>
      <x:c r="T344" s="25"/>
      <x:c r="U344" s="25"/>
      <x:c r="V344" s="25"/>
    </x:row>
    <x:row r="345">
      <x:c r="A345" s="29" t="str">
        <x:v>53200000</x:v>
      </x:c>
      <x:c r="B345" s="30" t="str">
        <x:v>LG-033M VERRILL</x:v>
      </x:c>
      <x:c r="C345" s="30" t="str">
        <x:v>Available</x:v>
      </x:c>
      <x:c r="D345" s="30" t="str">
        <x:v>LEGS - LG-033M VERRILL</x:v>
      </x:c>
      <x:c r="E345" s="30" t="n">
        <x:v>5650</x:v>
      </x:c>
      <x:c r="F345" s="30" t="n">
        <x:v>36200</x:v>
      </x:c>
      <x:c r="G345" s="30" t="n">
        <x:v>675</x:v>
      </x:c>
      <x:c r="H345" s="30" t="n">
        <x:v>1550</x:v>
      </x:c>
      <x:c r="I345" s="30" t="n">
        <x:v>1400</x:v>
      </x:c>
      <x:c r="J345" s="30" t="n">
        <x:v>9.6</x:v>
      </x:c>
      <x:c r="K345" s="30" t="n">
        <x:v>1413</x:v>
      </x:c>
      <x:c r="L345" s="30" t="n">
        <x:v>76200</x:v>
      </x:c>
      <x:c r="M345" s="30" t="n">
        <x:v>15</x:v>
      </x:c>
      <x:c r="N345" s="30" t="n">
        <x:v>400</x:v>
      </x:c>
      <x:c r="O345" s="30" t="str">
        <x:v>1410</x:v>
      </x:c>
      <x:c r="P345" s="25"/>
      <x:c r="Q345" s="25"/>
      <x:c r="R345" s="25"/>
      <x:c r="S345" s="25"/>
      <x:c r="T345" s="25"/>
      <x:c r="U345" s="25"/>
      <x:c r="V345" s="25"/>
    </x:row>
    <x:row r="346">
      <x:c r="A346" s="29" t="str">
        <x:v>53230000</x:v>
      </x:c>
      <x:c r="B346" s="30" t="str">
        <x:v>VP-424</x:v>
      </x:c>
      <x:c r="C346" s="30" t="str">
        <x:v>Available</x:v>
      </x:c>
      <x:c r="D346" s="30" t="str">
        <x:v>LEGS - VP-424</x:v>
      </x:c>
      <x:c r="E346" s="30" t="n">
        <x:v>4100</x:v>
      </x:c>
      <x:c r="F346" s="30" t="n">
        <x:v>31600</x:v>
      </x:c>
      <x:c r="G346" s="30" t="n">
        <x:v>760</x:v>
      </x:c>
      <x:c r="H346" s="30" t="n">
        <x:v>1550</x:v>
      </x:c>
      <x:c r="I346" s="30" t="n">
        <x:v>1400</x:v>
      </x:c>
      <x:c r="J346" s="30" t="n">
        <x:v>8.6</x:v>
      </x:c>
      <x:c r="K346" s="30" t="n">
        <x:v>1366</x:v>
      </x:c>
      <x:c r="L346" s="30" t="n">
        <x:v>69800</x:v>
      </x:c>
      <x:c r="M346" s="30" t="n">
        <x:v>18</x:v>
      </x:c>
      <x:c r="N346" s="30" t="n">
        <x:v>400</x:v>
      </x:c>
      <x:c r="O346" s="30" t="str">
        <x:v>4410</x:v>
      </x:c>
      <x:c r="P346" s="25"/>
      <x:c r="Q346" s="25"/>
      <x:c r="R346" s="25"/>
      <x:c r="S346" s="25"/>
      <x:c r="T346" s="25"/>
      <x:c r="U346" s="25"/>
      <x:c r="V346" s="25"/>
    </x:row>
    <x:row r="347">
      <x:c r="A347" s="29" t="str">
        <x:v>53280300</x:v>
      </x:c>
      <x:c r="B347" s="30" t="str">
        <x:v>LAMMERGEIER/42F</x:v>
      </x:c>
      <x:c r="C347" s="30" t="str">
        <x:v>Available</x:v>
      </x:c>
      <x:c r="D347" s="30" t="str">
        <x:v>LEGS - LAMMERGEIER/42F</x:v>
      </x:c>
      <x:c r="E347" s="30" t="n">
        <x:v>3560</x:v>
      </x:c>
      <x:c r="F347" s="30" t="n">
        <x:v>22430</x:v>
      </x:c>
      <x:c r="G347" s="30" t="n">
        <x:v>790</x:v>
      </x:c>
      <x:c r="H347" s="30" t="n">
        <x:v>1550</x:v>
      </x:c>
      <x:c r="I347" s="30" t="n">
        <x:v>1400</x:v>
      </x:c>
      <x:c r="J347" s="30" t="n">
        <x:v>-2</x:v>
      </x:c>
      <x:c r="K347" s="30" t="n">
        <x:v>980</x:v>
      </x:c>
      <x:c r="L347" s="30" t="n">
        <x:v>52460</x:v>
      </x:c>
      <x:c r="M347" s="30" t="n">
        <x:v>42</x:v>
      </x:c>
      <x:c r="N347" s="30" t="n">
        <x:v>400</x:v>
      </x:c>
      <x:c r="O347" s="30" t="str">
        <x:v>8070</x:v>
      </x:c>
      <x:c r="P347" s="25"/>
      <x:c r="Q347" s="25"/>
      <x:c r="R347" s="25"/>
      <x:c r="S347" s="25"/>
      <x:c r="T347" s="25"/>
      <x:c r="U347" s="25"/>
      <x:c r="V347" s="25"/>
    </x:row>
    <x:row r="348">
      <x:c r="A348" s="29" t="str">
        <x:v>53300000</x:v>
      </x:c>
      <x:c r="B348" s="30" t="str">
        <x:v>LG-022T BORNEMISSZA</x:v>
      </x:c>
      <x:c r="C348" s="30" t="str">
        <x:v>Available</x:v>
      </x:c>
      <x:c r="D348" s="30" t="str">
        <x:v>LEGS - LG-022T BORNEMISSZA</x:v>
      </x:c>
      <x:c r="E348" s="30" t="n">
        <x:v>9240</x:v>
      </x:c>
      <x:c r="F348" s="30" t="n">
        <x:v>49800</x:v>
      </x:c>
      <x:c r="G348" s="30" t="n">
        <x:v>455</x:v>
      </x:c>
      <x:c r="H348" s="30" t="n">
        <x:v>1550</x:v>
      </x:c>
      <x:c r="I348" s="30" t="n">
        <x:v>1400</x:v>
      </x:c>
      <x:c r="J348" s="30" t="n">
        <x:v>9.9</x:v>
      </x:c>
      <x:c r="K348" s="30" t="n">
        <x:v>1500</x:v>
      </x:c>
      <x:c r="L348" s="30" t="n">
        <x:v>100300</x:v>
      </x:c>
      <x:c r="M348" s="30" t="n">
        <x:v>2</x:v>
      </x:c>
      <x:c r="N348" s="30" t="n">
        <x:v>300</x:v>
      </x:c>
      <x:c r="O348" s="30" t="str">
        <x:v>1510</x:v>
      </x:c>
      <x:c r="P348" s="25"/>
      <x:c r="Q348" s="25"/>
      <x:c r="R348" s="25"/>
      <x:c r="S348" s="25"/>
      <x:c r="T348" s="25"/>
      <x:c r="U348" s="25"/>
      <x:c r="V348" s="25"/>
    </x:row>
    <x:row r="349">
      <x:c r="A349" s="29" t="str">
        <x:v>53340000</x:v>
      </x:c>
      <x:c r="B349" s="30" t="str">
        <x:v>VE-42B</x:v>
      </x:c>
      <x:c r="C349" s="30" t="str">
        <x:v>Available</x:v>
      </x:c>
      <x:c r="D349" s="30" t="str">
        <x:v>LEGS - VE-42B</x:v>
      </x:c>
      <x:c r="E349" s="30" t="n">
        <x:v>8600</x:v>
      </x:c>
      <x:c r="F349" s="30" t="n">
        <x:v>46600</x:v>
      </x:c>
      <x:c r="G349" s="30" t="n">
        <x:v>824</x:v>
      </x:c>
      <x:c r="H349" s="30" t="n">
        <x:v>1550</x:v>
      </x:c>
      <x:c r="I349" s="30" t="n">
        <x:v>1400</x:v>
      </x:c>
      <x:c r="J349" s="30" t="n">
        <x:v>10.6</x:v>
      </x:c>
      <x:c r="K349" s="30" t="n">
        <x:v>924</x:v>
      </x:c>
      <x:c r="L349" s="30" t="n">
        <x:v>91000</x:v>
      </x:c>
      <x:c r="M349" s="30" t="n">
        <x:v>2</x:v>
      </x:c>
      <x:c r="N349" s="30" t="n">
        <x:v>300</x:v>
      </x:c>
      <x:c r="O349" s="30" t="str">
        <x:v>5510</x:v>
      </x:c>
      <x:c r="P349" s="25"/>
      <x:c r="Q349" s="25"/>
      <x:c r="R349" s="25"/>
      <x:c r="S349" s="25"/>
      <x:c r="T349" s="25"/>
      <x:c r="U349" s="25"/>
      <x:c r="V349" s="25"/>
    </x:row>
    <x:row r="350">
      <x:c r="A350" s="29" t="str">
        <x:v>53360000</x:v>
      </x:c>
      <x:c r="B350" s="30" t="str">
        <x:v>EL-TL-11 FORTALEZA</x:v>
      </x:c>
      <x:c r="C350" s="30" t="str">
        <x:v>Available</x:v>
      </x:c>
      <x:c r="D350" s="30" t="str">
        <x:v>LEGS - EL-TL-11 FORTALEZA</x:v>
      </x:c>
      <x:c r="E350" s="30" t="n">
        <x:v>5100</x:v>
      </x:c>
      <x:c r="F350" s="30" t="n">
        <x:v>23650</x:v>
      </x:c>
      <x:c r="G350" s="30" t="n">
        <x:v>620</x:v>
      </x:c>
      <x:c r="H350" s="30" t="n">
        <x:v>1550</x:v>
      </x:c>
      <x:c r="I350" s="30" t="n">
        <x:v>1400</x:v>
      </x:c>
      <x:c r="J350" s="30" t="n">
        <x:v>1.4</x:v>
      </x:c>
      <x:c r="K350" s="30" t="n">
        <x:v>842</x:v>
      </x:c>
      <x:c r="L350" s="30" t="n">
        <x:v>69300</x:v>
      </x:c>
      <x:c r="M350" s="30" t="n">
        <x:v>2</x:v>
      </x:c>
      <x:c r="N350" s="30" t="n">
        <x:v>300</x:v>
      </x:c>
      <x:c r="O350" s="30" t="str">
        <x:v>7510</x:v>
      </x:c>
      <x:c r="P350" s="25"/>
      <x:c r="Q350" s="25"/>
      <x:c r="R350" s="25"/>
      <x:c r="S350" s="25"/>
      <x:c r="T350" s="25"/>
      <x:c r="U350" s="25"/>
      <x:c r="V350" s="25"/>
    </x:row>
    <x:row r="351">
      <x:c r="A351" s="31" t="str">
        <x:v>53900000</x:v>
      </x:c>
      <x:c r="B351" s="32" t="str">
        <x:v>AL-J-121/RC JAILBREAK</x:v>
      </x:c>
      <x:c r="C351" s="32" t="str">
        <x:v>Available</x:v>
      </x:c>
      <x:c r="D351" s="32" t="str">
        <x:v>LEGS - AL-J-121/RC JAILBREAK</x:v>
      </x:c>
      <x:c r="E351" s="32" t="n">
        <x:v>2000</x:v>
      </x:c>
      <x:c r="F351" s="32" t="n">
        <x:v>18560</x:v>
      </x:c>
      <x:c r="G351" s="32" t="n">
        <x:v>300</x:v>
      </x:c>
      <x:c r="H351" s="32" t="n">
        <x:v>1550</x:v>
      </x:c>
      <x:c r="I351" s="32" t="n">
        <x:v>1400</x:v>
      </x:c>
      <x:c r="J351" s="32" t="n">
        <x:v>8.8</x:v>
      </x:c>
      <x:c r="K351" s="32" t="n">
        <x:v>658</x:v>
      </x:c>
      <x:c r="L351" s="32" t="n">
        <x:v>62600</x:v>
      </x:c>
      <x:c r="M351" s="32" t="n">
        <x:v>25</x:v>
      </x:c>
      <x:c r="N351" s="32" t="n">
        <x:v>400</x:v>
      </x:c>
      <x:c r="O351" s="32" t="str">
        <x:v>8031</x:v>
      </x:c>
      <x:c r="P351" s="25"/>
      <x:c r="Q351" s="25"/>
      <x:c r="R351" s="25"/>
      <x:c r="S351" s="25"/>
      <x:c r="T351" s="25"/>
      <x:c r="U351" s="25"/>
      <x:c r="V351" s="25"/>
    </x:row>
  </x:sheetData>
  <x:mergeCells>
    <x:mergeCell ref="A1:V1"/>
    <x:mergeCell ref="A2:V2"/>
    <x:mergeCell ref="A4:L4"/>
    <x:mergeCell ref="A18:Q18"/>
    <x:mergeCell ref="A34:M34"/>
    <x:mergeCell ref="A52:V52"/>
    <x:mergeCell ref="A254:O254"/>
    <x:mergeCell ref="A281:O281"/>
    <x:mergeCell ref="A302:O302"/>
    <x:mergeCell ref="A325:O325"/>
  </x:mergeCells>
  <x:conditionalFormatting sqref="C6:C15">
    <x:cfRule type="containsText" dxfId="0" priority="1" operator="containsText" text="No matching"/>
  </x:conditionalFormatting>
  <x:conditionalFormatting sqref="C20:C31">
    <x:cfRule type="containsText" dxfId="1" priority="2" operator="containsText" text="No matching"/>
  </x:conditionalFormatting>
  <x:conditionalFormatting sqref="C36:C49">
    <x:cfRule type="containsText" dxfId="2" priority="3" operator="containsText" text="No matching"/>
  </x:conditionalFormatting>
  <x:conditionalFormatting sqref="C54:C251">
    <x:cfRule type="containsText" dxfId="3" priority="4" operator="containsText" text="No matching"/>
  </x:conditionalFormatting>
  <x:conditionalFormatting sqref="C256:C278">
    <x:cfRule type="containsText" dxfId="4" priority="5" operator="containsText" text="No matching"/>
  </x:conditionalFormatting>
  <x:conditionalFormatting sqref="C283:C299">
    <x:cfRule type="containsText" dxfId="5" priority="6" operator="containsText" text="No matching"/>
  </x:conditionalFormatting>
  <x:conditionalFormatting sqref="C304:C322">
    <x:cfRule type="containsText" dxfId="6" priority="7" operator="containsText" text="No matching"/>
  </x:conditionalFormatting>
  <x:conditionalFormatting sqref="C327:C351">
    <x:cfRule type="containsText" dxfId="7" priority="8" operator="containsText" text="No matching"/>
  </x:conditionalFormatting>
  <x:pageMargins left="0.7" right="0.7" top="0.75" bottom="0.75" header="0.3" footer="0.3"/>
  <x:tableParts count="8">
    <x:tablePart xmlns:r="http://schemas.openxmlformats.org/officeDocument/2006/relationships" r:id="R3bfb3dbd8d154e2a"/>
    <x:tablePart xmlns:r="http://schemas.openxmlformats.org/officeDocument/2006/relationships" r:id="R5dd135f9e1ab4a77"/>
    <x:tablePart xmlns:r="http://schemas.openxmlformats.org/officeDocument/2006/relationships" r:id="Rd0366ff5a53d4f4c"/>
    <x:tablePart xmlns:r="http://schemas.openxmlformats.org/officeDocument/2006/relationships" r:id="R35142539cb574ebc"/>
    <x:tablePart xmlns:r="http://schemas.openxmlformats.org/officeDocument/2006/relationships" r:id="Rc2acb30b4d414a43"/>
    <x:tablePart xmlns:r="http://schemas.openxmlformats.org/officeDocument/2006/relationships" r:id="R73d5b9a06d974aab"/>
    <x:tablePart xmlns:r="http://schemas.openxmlformats.org/officeDocument/2006/relationships" r:id="Ra5d276a797ba4a89"/>
    <x:tablePart xmlns:r="http://schemas.openxmlformats.org/officeDocument/2006/relationships" r:id="R212843e2ebec4a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34" customHeight="1">
      <x:c r="A1" s="41" t="str">
        <x:v>Aftermath-Unique Parts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</x:row>
    <x:row r="2" ht="26" customHeight="1">
      <x:c r="A2" s="24" t="str">
        <x:v>Named IDs absent from the base-game name tables. Missing stat exports are visibly flagged.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</x:row>
    <x:row r="4" ht="25" customHeight="1">
      <x:c r="A4" s="41" t="str">
        <x:v>FCS  •  6 parts</x:v>
      </x:c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25"/>
      <x:c r="N4" s="25"/>
      <x:c r="O4" s="25"/>
      <x:c r="P4" s="25"/>
      <x:c r="Q4" s="25"/>
      <x:c r="R4" s="25"/>
      <x:c r="S4" s="25"/>
      <x:c r="T4" s="25"/>
      <x:c r="U4" s="25"/>
      <x:c r="V4" s="25"/>
    </x:row>
    <x:row r="5" ht="32" customHeight="1">
      <x:c r="A5" s="42" t="str">
        <x:v>ID</x:v>
      </x:c>
      <x:c r="B5" s="42" t="str">
        <x:v>Part Name</x:v>
      </x:c>
      <x:c r="C5" s="42" t="str">
        <x:v>Data Status</x:v>
      </x:c>
      <x:c r="D5" s="42" t="str">
        <x:v>Weight</x:v>
      </x:c>
      <x:c r="E5" s="42" t="str">
        <x:v>EN Load</x:v>
      </x:c>
      <x:c r="F5" s="42" t="str">
        <x:v>Missile Lock Performance</x:v>
      </x:c>
      <x:c r="G5" s="42" t="str">
        <x:v>Missile Lock Time Rate</x:v>
      </x:c>
      <x:c r="H5" s="42" t="str">
        <x:v>Multi-Lock Time Rate</x:v>
      </x:c>
      <x:c r="I5" s="42" t="str">
        <x:v>Prediction Bullet Speed</x:v>
      </x:c>
      <x:c r="J5" s="42" t="str">
        <x:v>Prediction Max Offset</x:v>
      </x:c>
      <x:c r="K5" s="42" t="str">
        <x:v>Prediction Start Distance</x:v>
      </x:c>
      <x:c r="L5" s="42" t="str">
        <x:v>Model ID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</x:row>
    <x:row r="6">
      <x:c r="A6" s="27" t="str">
        <x:v>70020200</x:v>
      </x:c>
      <x:c r="B6" s="28" t="str">
        <x:v>IX-08 CAPERNAUM</x:v>
      </x:c>
      <x:c r="C6" s="28" t="str">
        <x:v>Available</x:v>
      </x:c>
      <x:c r="D6" s="28" t="n">
        <x:v>120</x:v>
      </x:c>
      <x:c r="E6" s="28" t="n">
        <x:v>295</x:v>
      </x:c>
      <x:c r="F6" s="28" t="n">
        <x:v>0</x:v>
      </x:c>
      <x:c r="G6" s="28" t="n">
        <x:v>1.3</x:v>
      </x:c>
      <x:c r="H6" s="28" t="n">
        <x:v>1</x:v>
      </x:c>
      <x:c r="I6" s="28" t="n">
        <x:v>350</x:v>
      </x:c>
      <x:c r="J6" s="28" t="n">
        <x:v>80</x:v>
      </x:c>
      <x:c r="K6" s="28" t="n">
        <x:v>450</x:v>
      </x:c>
      <x:c r="L6" s="28" t="str">
        <x:v>2880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</x:row>
    <x:row r="7">
      <x:c r="A7" s="29" t="str">
        <x:v>70020300</x:v>
      </x:c>
      <x:c r="B7" s="30" t="str">
        <x:v>IX-09 GALILEE</x:v>
      </x:c>
      <x:c r="C7" s="30" t="str">
        <x:v>Available</x:v>
      </x:c>
      <x:c r="D7" s="30" t="n">
        <x:v>111</x:v>
      </x:c>
      <x:c r="E7" s="30" t="n">
        <x:v>333</x:v>
      </x:c>
      <x:c r="F7" s="30" t="n">
        <x:v>0</x:v>
      </x:c>
      <x:c r="G7" s="30" t="n">
        <x:v>1.1</x:v>
      </x:c>
      <x:c r="H7" s="30" t="n">
        <x:v>1.1</x:v>
      </x:c>
      <x:c r="I7" s="30" t="n">
        <x:v>350</x:v>
      </x:c>
      <x:c r="J7" s="30" t="n">
        <x:v>80</x:v>
      </x:c>
      <x:c r="K7" s="30" t="n">
        <x:v>444</x:v>
      </x:c>
      <x:c r="L7" s="30" t="str">
        <x:v>288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</x:row>
    <x:row r="8">
      <x:c r="A8" s="29" t="str">
        <x:v>70020400</x:v>
      </x:c>
      <x:c r="B8" s="30" t="str">
        <x:v>EL-VF-04 CERCA</x:v>
      </x:c>
      <x:c r="C8" s="30" t="str">
        <x:v>Available</x:v>
      </x:c>
      <x:c r="D8" s="30" t="n">
        <x:v>200</x:v>
      </x:c>
      <x:c r="E8" s="30" t="n">
        <x:v>250</x:v>
      </x:c>
      <x:c r="F8" s="30" t="n">
        <x:v>0</x:v>
      </x:c>
      <x:c r="G8" s="30" t="n">
        <x:v>1.6</x:v>
      </x:c>
      <x:c r="H8" s="30" t="n">
        <x:v>1.43</x:v>
      </x:c>
      <x:c r="I8" s="30" t="n">
        <x:v>350</x:v>
      </x:c>
      <x:c r="J8" s="30" t="n">
        <x:v>60</x:v>
      </x:c>
      <x:c r="K8" s="30" t="n">
        <x:v>200</x:v>
      </x:c>
      <x:c r="L8" s="30" t="str">
        <x:v>9006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</x:row>
    <x:row r="9">
      <x:c r="A9" s="29" t="str">
        <x:v>70020500</x:v>
      </x:c>
      <x:c r="B9" s="30" t="str">
        <x:v>EL-DF-05 AGACHADIZA</x:v>
      </x:c>
      <x:c r="C9" s="30" t="str">
        <x:v>Available</x:v>
      </x:c>
      <x:c r="D9" s="30" t="n">
        <x:v>205</x:v>
      </x:c>
      <x:c r="E9" s="30" t="n">
        <x:v>290</x:v>
      </x:c>
      <x:c r="F9" s="30" t="n">
        <x:v>0</x:v>
      </x:c>
      <x:c r="G9" s="30" t="n">
        <x:v>0.88</x:v>
      </x:c>
      <x:c r="H9" s="30" t="n">
        <x:v>0.91</x:v>
      </x:c>
      <x:c r="I9" s="30" t="n">
        <x:v>900</x:v>
      </x:c>
      <x:c r="J9" s="30" t="n">
        <x:v>70</x:v>
      </x:c>
      <x:c r="K9" s="30" t="n">
        <x:v>900</x:v>
      </x:c>
      <x:c r="L9" s="30" t="str">
        <x:v>9005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</x:row>
    <x:row r="10">
      <x:c r="A10" s="29" t="str">
        <x:v>70030101</x:v>
      </x:c>
      <x:c r="B10" s="30" t="str">
        <x:v>IB-C03F: WLT 001/RC</x:v>
      </x:c>
      <x:c r="C10" s="30" t="str">
        <x:v>Available</x:v>
      </x:c>
      <x:c r="D10" s="30" t="n">
        <x:v>240</x:v>
      </x:c>
      <x:c r="E10" s="30" t="n">
        <x:v>629</x:v>
      </x:c>
      <x:c r="F10" s="30" t="n">
        <x:v>0</x:v>
      </x:c>
      <x:c r="G10" s="30" t="n">
        <x:v>1.01</x:v>
      </x:c>
      <x:c r="H10" s="30" t="n">
        <x:v>1.39</x:v>
      </x:c>
      <x:c r="I10" s="30" t="n">
        <x:v>350</x:v>
      </x:c>
      <x:c r="J10" s="30" t="n">
        <x:v>80</x:v>
      </x:c>
      <x:c r="K10" s="30" t="n">
        <x:v>390</x:v>
      </x:c>
      <x:c r="L10" s="30" t="str">
        <x:v>8970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</x:row>
    <x:row r="11">
      <x:c r="A11" s="31" t="str">
        <x:v>70030200</x:v>
      </x:c>
      <x:c r="B11" s="32" t="str">
        <x:v>[ERROR] F-MOD_3 AGRICOLA</x:v>
      </x:c>
      <x:c r="C11" s="32" t="str">
        <x:v>No matching stat row</x:v>
      </x:c>
      <x:c r="D11" s="32"/>
      <x:c r="E11" s="32"/>
      <x:c r="F11" s="32"/>
      <x:c r="G11" s="32"/>
      <x:c r="H11" s="32"/>
      <x:c r="I11" s="32"/>
      <x:c r="J11" s="32"/>
      <x:c r="K11" s="32"/>
      <x:c r="L11" s="32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</x:row>
    <x:row r="14" ht="25" customHeight="1">
      <x:c r="A14" s="41" t="str">
        <x:v>Booster  •  9 parts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25"/>
      <x:c r="S14" s="25"/>
      <x:c r="T14" s="25"/>
      <x:c r="U14" s="25"/>
      <x:c r="V14" s="25"/>
    </x:row>
    <x:row r="15" ht="32" customHeight="1">
      <x:c r="A15" s="42" t="str">
        <x:v>ID</x:v>
      </x:c>
      <x:c r="B15" s="42" t="str">
        <x:v>Part Name</x:v>
      </x:c>
      <x:c r="C15" s="42" t="str">
        <x:v>Data Status</x:v>
      </x:c>
      <x:c r="D15" s="42" t="str">
        <x:v>Weight</x:v>
      </x:c>
      <x:c r="E15" s="42" t="str">
        <x:v>EN Load</x:v>
      </x:c>
      <x:c r="F15" s="42" t="str">
        <x:v>Boost Max Speed</x:v>
      </x:c>
      <x:c r="G15" s="42" t="str">
        <x:v>Upward Max Speed</x:v>
      </x:c>
      <x:c r="H15" s="42" t="str">
        <x:v>Upward EN Cost</x:v>
      </x:c>
      <x:c r="I15" s="42" t="str">
        <x:v>QB End Speed</x:v>
      </x:c>
      <x:c r="J15" s="42" t="str">
        <x:v>QB Duration (F30)</x:v>
      </x:c>
      <x:c r="K15" s="42" t="str">
        <x:v>QB EN Cost</x:v>
      </x:c>
      <x:c r="L15" s="42" t="str">
        <x:v>QB Reload</x:v>
      </x:c>
      <x:c r="M15" s="42" t="str">
        <x:v>Assault Boost End Speed</x:v>
      </x:c>
      <x:c r="N15" s="42" t="str">
        <x:v>Assault Boost EN/sec</x:v>
      </x:c>
      <x:c r="O15" s="42" t="str">
        <x:v>Melee Thrust End Speed</x:v>
      </x:c>
      <x:c r="P15" s="42" t="str">
        <x:v>Melee Thrust EN/sec</x:v>
      </x:c>
      <x:c r="Q15" s="42" t="str">
        <x:v>Model ID</x:v>
      </x:c>
      <x:c r="R15" s="25"/>
      <x:c r="S15" s="25"/>
      <x:c r="T15" s="25"/>
      <x:c r="U15" s="25"/>
      <x:c r="V15" s="25"/>
    </x:row>
    <x:row r="16">
      <x:c r="A16" s="27" t="str">
        <x:v>60000001</x:v>
      </x:c>
      <x:c r="B16" s="28" t="str">
        <x:v>T-MOD_7 APRUM</x:v>
      </x:c>
      <x:c r="C16" s="28" t="str">
        <x:v>Available</x:v>
      </x:c>
      <x:c r="D16" s="28" t="n">
        <x:v>1725</x:v>
      </x:c>
      <x:c r="E16" s="28" t="n">
        <x:v>440</x:v>
      </x:c>
      <x:c r="F16" s="28" t="n">
        <x:v>280</x:v>
      </x:c>
      <x:c r="G16" s="28" t="n">
        <x:v>323.95</x:v>
      </x:c>
      <x:c r="H16" s="28" t="n">
        <x:v>770</x:v>
      </x:c>
      <x:c r="I16" s="28" t="n">
        <x:v>428</x:v>
      </x:c>
      <x:c r="J16" s="28" t="n">
        <x:v>12.8</x:v>
      </x:c>
      <x:c r="K16" s="28" t="n">
        <x:v>540</x:v>
      </x:c>
      <x:c r="L16" s="28" t="n">
        <x:v>0.4</x:v>
      </x:c>
      <x:c r="M16" s="28" t="n">
        <x:v>495</x:v>
      </x:c>
      <x:c r="N16" s="28" t="n">
        <x:v>440</x:v>
      </x:c>
      <x:c r="O16" s="28" t="n">
        <x:v>795</x:v>
      </x:c>
      <x:c r="P16" s="28" t="n">
        <x:v>460</x:v>
      </x:c>
      <x:c r="Q16" s="28" t="str">
        <x:v>1210</x:v>
      </x:c>
      <x:c r="R16" s="25"/>
      <x:c r="S16" s="25"/>
      <x:c r="T16" s="25"/>
      <x:c r="U16" s="25"/>
      <x:c r="V16" s="25"/>
    </x:row>
    <x:row r="17">
      <x:c r="A17" s="29" t="str">
        <x:v>60000002</x:v>
      </x:c>
      <x:c r="B17" s="30" t="str">
        <x:v>T-MOD_4 CAPRAE</x:v>
      </x:c>
      <x:c r="C17" s="30" t="str">
        <x:v>Available</x:v>
      </x:c>
      <x:c r="D17" s="30" t="n">
        <x:v>2230</x:v>
      </x:c>
      <x:c r="E17" s="30" t="n">
        <x:v>228</x:v>
      </x:c>
      <x:c r="F17" s="30" t="n">
        <x:v>280</x:v>
      </x:c>
      <x:c r="G17" s="30" t="n">
        <x:v>280</x:v>
      </x:c>
      <x:c r="H17" s="30" t="n">
        <x:v>960</x:v>
      </x:c>
      <x:c r="I17" s="30" t="n">
        <x:v>425</x:v>
      </x:c>
      <x:c r="J17" s="30" t="n">
        <x:v>9.9</x:v>
      </x:c>
      <x:c r="K17" s="30" t="n">
        <x:v>580</x:v>
      </x:c>
      <x:c r="L17" s="30" t="n">
        <x:v>0.33</x:v>
      </x:c>
      <x:c r="M17" s="30" t="n">
        <x:v>499</x:v>
      </x:c>
      <x:c r="N17" s="30" t="n">
        <x:v>400</x:v>
      </x:c>
      <x:c r="O17" s="30" t="n">
        <x:v>740</x:v>
      </x:c>
      <x:c r="P17" s="30" t="n">
        <x:v>490</x:v>
      </x:c>
      <x:c r="Q17" s="30" t="str">
        <x:v>1310</x:v>
      </x:c>
      <x:c r="R17" s="25"/>
      <x:c r="S17" s="25"/>
      <x:c r="T17" s="25"/>
      <x:c r="U17" s="25"/>
      <x:c r="V17" s="25"/>
    </x:row>
    <x:row r="18">
      <x:c r="A18" s="29" t="str">
        <x:v>60000003</x:v>
      </x:c>
      <x:c r="B18" s="30" t="str">
        <x:v>T-MOD_1 EQUUS</x:v>
      </x:c>
      <x:c r="C18" s="30" t="str">
        <x:v>Available</x:v>
      </x:c>
      <x:c r="D18" s="30" t="n">
        <x:v>2560</x:v>
      </x:c>
      <x:c r="E18" s="30" t="n">
        <x:v>250</x:v>
      </x:c>
      <x:c r="F18" s="30" t="n">
        <x:v>280</x:v>
      </x:c>
      <x:c r="G18" s="30" t="n">
        <x:v>330</x:v>
      </x:c>
      <x:c r="H18" s="30" t="n">
        <x:v>623</x:v>
      </x:c>
      <x:c r="I18" s="30" t="n">
        <x:v>300</x:v>
      </x:c>
      <x:c r="J18" s="30" t="n">
        <x:v>9.1</x:v>
      </x:c>
      <x:c r="K18" s="30" t="n">
        <x:v>710</x:v>
      </x:c>
      <x:c r="L18" s="30" t="n">
        <x:v>0.7</x:v>
      </x:c>
      <x:c r="M18" s="30" t="n">
        <x:v>550</x:v>
      </x:c>
      <x:c r="N18" s="30" t="n">
        <x:v>390</x:v>
      </x:c>
      <x:c r="O18" s="30" t="n">
        <x:v>690</x:v>
      </x:c>
      <x:c r="P18" s="30" t="n">
        <x:v>520</x:v>
      </x:c>
      <x:c r="Q18" s="30" t="str">
        <x:v>1410</x:v>
      </x:c>
      <x:c r="R18" s="25"/>
      <x:c r="S18" s="25"/>
      <x:c r="T18" s="25"/>
      <x:c r="U18" s="25"/>
      <x:c r="V18" s="25"/>
    </x:row>
    <x:row r="19">
      <x:c r="A19" s="29" t="str">
        <x:v>60000004</x:v>
      </x:c>
      <x:c r="B19" s="30" t="str">
        <x:v>T-MOD_2 VACCA</x:v>
      </x:c>
      <x:c r="C19" s="30" t="str">
        <x:v>Available</x:v>
      </x:c>
      <x:c r="D19" s="30" t="n">
        <x:v>900</x:v>
      </x:c>
      <x:c r="E19" s="30" t="n">
        <x:v>215</x:v>
      </x:c>
      <x:c r="F19" s="30" t="n">
        <x:v>280</x:v>
      </x:c>
      <x:c r="G19" s="30" t="n">
        <x:v>323.95</x:v>
      </x:c>
      <x:c r="H19" s="30" t="n">
        <x:v>650</x:v>
      </x:c>
      <x:c r="I19" s="30" t="n">
        <x:v>320</x:v>
      </x:c>
      <x:c r="J19" s="30" t="n">
        <x:v>20</x:v>
      </x:c>
      <x:c r="K19" s="30" t="n">
        <x:v>560</x:v>
      </x:c>
      <x:c r="L19" s="30" t="n">
        <x:v>0.98</x:v>
      </x:c>
      <x:c r="M19" s="30" t="n">
        <x:v>510</x:v>
      </x:c>
      <x:c r="N19" s="30" t="n">
        <x:v>353</x:v>
      </x:c>
      <x:c r="O19" s="30" t="n">
        <x:v>700</x:v>
      </x:c>
      <x:c r="P19" s="30" t="n">
        <x:v>550</x:v>
      </x:c>
      <x:c r="Q19" s="30" t="str">
        <x:v>1510</x:v>
      </x:c>
      <x:c r="R19" s="25"/>
      <x:c r="S19" s="25"/>
      <x:c r="T19" s="25"/>
      <x:c r="U19" s="25"/>
      <x:c r="V19" s="25"/>
    </x:row>
    <x:row r="20">
      <x:c r="A20" s="29" t="str">
        <x:v>60000005</x:v>
      </x:c>
      <x:c r="B20" s="30" t="str">
        <x:v>T-MOD_6 BOBUS</x:v>
      </x:c>
      <x:c r="C20" s="30" t="str">
        <x:v>Available</x:v>
      </x:c>
      <x:c r="D20" s="30" t="n">
        <x:v>2020</x:v>
      </x:c>
      <x:c r="E20" s="30" t="n">
        <x:v>309</x:v>
      </x:c>
      <x:c r="F20" s="30" t="n">
        <x:v>280</x:v>
      </x:c>
      <x:c r="G20" s="30" t="n">
        <x:v>360</x:v>
      </x:c>
      <x:c r="H20" s="30" t="n">
        <x:v>600</x:v>
      </x:c>
      <x:c r="I20" s="30" t="n">
        <x:v>70</x:v>
      </x:c>
      <x:c r="J20" s="30" t="n">
        <x:v>9.5</x:v>
      </x:c>
      <x:c r="K20" s="30" t="n">
        <x:v>715</x:v>
      </x:c>
      <x:c r="L20" s="30" t="n">
        <x:v>1.2</x:v>
      </x:c>
      <x:c r="M20" s="30" t="n">
        <x:v>523</x:v>
      </x:c>
      <x:c r="N20" s="30" t="n">
        <x:v>333</x:v>
      </x:c>
      <x:c r="O20" s="30" t="n">
        <x:v>680</x:v>
      </x:c>
      <x:c r="P20" s="30" t="n">
        <x:v>420</x:v>
      </x:c>
      <x:c r="Q20" s="30" t="str">
        <x:v>1610</x:v>
      </x:c>
      <x:c r="R20" s="25"/>
      <x:c r="S20" s="25"/>
      <x:c r="T20" s="25"/>
      <x:c r="U20" s="25"/>
      <x:c r="V20" s="25"/>
    </x:row>
    <x:row r="21">
      <x:c r="A21" s="29" t="str">
        <x:v>60000006</x:v>
      </x:c>
      <x:c r="B21" s="30" t="str">
        <x:v>BST-G3/P09QBT</x:v>
      </x:c>
      <x:c r="C21" s="30" t="str">
        <x:v>Available</x:v>
      </x:c>
      <x:c r="D21" s="30" t="n">
        <x:v>3110</x:v>
      </x:c>
      <x:c r="E21" s="30" t="n">
        <x:v>300</x:v>
      </x:c>
      <x:c r="F21" s="30" t="n">
        <x:v>280</x:v>
      </x:c>
      <x:c r="G21" s="30" t="n">
        <x:v>323.95</x:v>
      </x:c>
      <x:c r="H21" s="30" t="n">
        <x:v>830</x:v>
      </x:c>
      <x:c r="I21" s="30" t="n">
        <x:v>470</x:v>
      </x:c>
      <x:c r="J21" s="30" t="n">
        <x:v>9.2</x:v>
      </x:c>
      <x:c r="K21" s="30" t="n">
        <x:v>590</x:v>
      </x:c>
      <x:c r="L21" s="30" t="n">
        <x:v>0.42</x:v>
      </x:c>
      <x:c r="M21" s="30" t="n">
        <x:v>480</x:v>
      </x:c>
      <x:c r="N21" s="30" t="n">
        <x:v>344</x:v>
      </x:c>
      <x:c r="O21" s="30" t="n">
        <x:v>730</x:v>
      </x:c>
      <x:c r="P21" s="30" t="n">
        <x:v>470</x:v>
      </x:c>
      <x:c r="Q21" s="30" t="str">
        <x:v>1710</x:v>
      </x:c>
      <x:c r="R21" s="25"/>
      <x:c r="S21" s="25"/>
      <x:c r="T21" s="25"/>
      <x:c r="U21" s="25"/>
      <x:c r="V21" s="25"/>
    </x:row>
    <x:row r="22">
      <x:c r="A22" s="29" t="str">
        <x:v>60021000</x:v>
      </x:c>
      <x:c r="B22" s="30" t="str">
        <x:v>ALULA/21E/RC</x:v>
      </x:c>
      <x:c r="C22" s="30" t="str">
        <x:v>Available</x:v>
      </x:c>
      <x:c r="D22" s="30" t="n">
        <x:v>2100</x:v>
      </x:c>
      <x:c r="E22" s="30" t="n">
        <x:v>395</x:v>
      </x:c>
      <x:c r="F22" s="30" t="n">
        <x:v>280</x:v>
      </x:c>
      <x:c r="G22" s="30" t="n">
        <x:v>202</x:v>
      </x:c>
      <x:c r="H22" s="30" t="n">
        <x:v>1225</x:v>
      </x:c>
      <x:c r="I22" s="30" t="n">
        <x:v>301</x:v>
      </x:c>
      <x:c r="J22" s="30" t="n">
        <x:v>9</x:v>
      </x:c>
      <x:c r="K22" s="30" t="n">
        <x:v>698</x:v>
      </x:c>
      <x:c r="L22" s="30" t="n">
        <x:v>0.62</x:v>
      </x:c>
      <x:c r="M22" s="30" t="n">
        <x:v>425</x:v>
      </x:c>
      <x:c r="N22" s="30" t="n">
        <x:v>455</x:v>
      </x:c>
      <x:c r="O22" s="30" t="n">
        <x:v>512</x:v>
      </x:c>
      <x:c r="P22" s="30" t="n">
        <x:v>611</x:v>
      </x:c>
      <x:c r="Q22" s="30" t="str">
        <x:v>3015</x:v>
      </x:c>
      <x:c r="R22" s="25"/>
      <x:c r="S22" s="25"/>
      <x:c r="T22" s="25"/>
      <x:c r="U22" s="25"/>
      <x:c r="V22" s="25"/>
    </x:row>
    <x:row r="23">
      <x:c r="A23" s="29" t="str">
        <x:v>60070500</x:v>
      </x:c>
      <x:c r="B23" s="30" t="str">
        <x:v>IX-02 OLIVES</x:v>
      </x:c>
      <x:c r="C23" s="30" t="str">
        <x:v>Available</x:v>
      </x:c>
      <x:c r="D23" s="30" t="n">
        <x:v>2230</x:v>
      </x:c>
      <x:c r="E23" s="30" t="n">
        <x:v>218</x:v>
      </x:c>
      <x:c r="F23" s="30" t="n">
        <x:v>320</x:v>
      </x:c>
      <x:c r="G23" s="30" t="n">
        <x:v>298</x:v>
      </x:c>
      <x:c r="H23" s="30" t="n">
        <x:v>572</x:v>
      </x:c>
      <x:c r="I23" s="30" t="n">
        <x:v>410</x:v>
      </x:c>
      <x:c r="J23" s="30" t="n">
        <x:v>7</x:v>
      </x:c>
      <x:c r="K23" s="30" t="n">
        <x:v>647</x:v>
      </x:c>
      <x:c r="L23" s="30" t="n">
        <x:v>0.65</x:v>
      </x:c>
      <x:c r="M23" s="30" t="n">
        <x:v>428</x:v>
      </x:c>
      <x:c r="N23" s="30" t="n">
        <x:v>408</x:v>
      </x:c>
      <x:c r="O23" s="30" t="n">
        <x:v>614</x:v>
      </x:c>
      <x:c r="P23" s="30" t="n">
        <x:v>458</x:v>
      </x:c>
      <x:c r="Q23" s="30" t="str">
        <x:v>8050</x:v>
      </x:c>
      <x:c r="R23" s="25"/>
      <x:c r="S23" s="25"/>
      <x:c r="T23" s="25"/>
      <x:c r="U23" s="25"/>
      <x:c r="V23" s="25"/>
    </x:row>
    <x:row r="24">
      <x:c r="A24" s="31" t="str">
        <x:v>60900001</x:v>
      </x:c>
      <x:c r="B24" s="32" t="str">
        <x:v>AB-J-137 KIKAKU/RC</x:v>
      </x:c>
      <x:c r="C24" s="32" t="str">
        <x:v>Available</x:v>
      </x:c>
      <x:c r="D24" s="32" t="n">
        <x:v>1620</x:v>
      </x:c>
      <x:c r="E24" s="32" t="n">
        <x:v>300</x:v>
      </x:c>
      <x:c r="F24" s="32" t="n">
        <x:v>280</x:v>
      </x:c>
      <x:c r="G24" s="32" t="n">
        <x:v>195</x:v>
      </x:c>
      <x:c r="H24" s="32" t="n">
        <x:v>900</x:v>
      </x:c>
      <x:c r="I24" s="32" t="n">
        <x:v>257</x:v>
      </x:c>
      <x:c r="J24" s="32" t="n">
        <x:v>11.5</x:v>
      </x:c>
      <x:c r="K24" s="32" t="n">
        <x:v>598</x:v>
      </x:c>
      <x:c r="L24" s="32" t="n">
        <x:v>0.6</x:v>
      </x:c>
      <x:c r="M24" s="32" t="n">
        <x:v>400</x:v>
      </x:c>
      <x:c r="N24" s="32" t="n">
        <x:v>395</x:v>
      </x:c>
      <x:c r="O24" s="32" t="n">
        <x:v>675</x:v>
      </x:c>
      <x:c r="P24" s="32" t="n">
        <x:v>500</x:v>
      </x:c>
      <x:c r="Q24" s="32" t="str">
        <x:v>8031</x:v>
      </x:c>
      <x:c r="R24" s="25"/>
      <x:c r="S24" s="25"/>
      <x:c r="T24" s="25"/>
      <x:c r="U24" s="25"/>
      <x:c r="V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</x:row>
    <x:row r="27" ht="25" customHeight="1">
      <x:c r="A27" s="41" t="str">
        <x:v>Generator  •  21 parts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25"/>
      <x:c r="O27" s="25"/>
      <x:c r="P27" s="25"/>
      <x:c r="Q27" s="25"/>
      <x:c r="R27" s="25"/>
      <x:c r="S27" s="25"/>
      <x:c r="T27" s="25"/>
      <x:c r="U27" s="25"/>
      <x:c r="V27" s="25"/>
    </x:row>
    <x:row r="28" ht="32" customHeight="1">
      <x:c r="A28" s="42" t="str">
        <x:v>ID</x:v>
      </x:c>
      <x:c r="B28" s="42" t="str">
        <x:v>Part Name</x:v>
      </x:c>
      <x:c r="C28" s="42" t="str">
        <x:v>Data Status</x:v>
      </x:c>
      <x:c r="D28" s="42" t="str">
        <x:v>Weight</x:v>
      </x:c>
      <x:c r="E28" s="42" t="str">
        <x:v>EN Load</x:v>
      </x:c>
      <x:c r="F28" s="42" t="str">
        <x:v>EN Capacity</x:v>
      </x:c>
      <x:c r="G28" s="42" t="str">
        <x:v>EN Recharge</x:v>
      </x:c>
      <x:c r="H28" s="42" t="str">
        <x:v>Recharge Delay</x:v>
      </x:c>
      <x:c r="I28" s="42" t="str">
        <x:v>Empty Recovery Delay</x:v>
      </x:c>
      <x:c r="J28" s="42" t="str">
        <x:v>Post-Recovery EN</x:v>
      </x:c>
      <x:c r="K28" s="42" t="str">
        <x:v>EN Firearm Spec.</x:v>
      </x:c>
      <x:c r="L28" s="42" t="str">
        <x:v>Thruster Color Type</x:v>
      </x:c>
      <x:c r="M28" s="42" t="str">
        <x:v>Model ID</x:v>
      </x:c>
      <x:c r="N28" s="25"/>
      <x:c r="O28" s="25"/>
      <x:c r="P28" s="25"/>
      <x:c r="Q28" s="25"/>
      <x:c r="R28" s="25"/>
      <x:c r="S28" s="25"/>
      <x:c r="T28" s="25"/>
      <x:c r="U28" s="25"/>
      <x:c r="V28" s="25"/>
    </x:row>
    <x:row r="29">
      <x:c r="A29" s="27" t="str">
        <x:v>65010101</x:v>
      </x:c>
      <x:c r="B29" s="28" t="str">
        <x:v>DANG-L-E-97-O "MYELOMA"</x:v>
      </x:c>
      <x:c r="C29" s="28" t="str">
        <x:v>Available</x:v>
      </x:c>
      <x:c r="D29" s="28" t="n">
        <x:v>5300</x:v>
      </x:c>
      <x:c r="E29" s="28" t="n">
        <x:v>0</x:v>
      </x:c>
      <x:c r="F29" s="28" t="n">
        <x:v>3510</x:v>
      </x:c>
      <x:c r="G29" s="28" t="n">
        <x:v>3060</x:v>
      </x:c>
      <x:c r="H29" s="28" t="n">
        <x:v>3.15</x:v>
      </x:c>
      <x:c r="I29" s="28" t="n">
        <x:v>1.9</x:v>
      </x:c>
      <x:c r="J29" s="28" t="n">
        <x:v>280</x:v>
      </x:c>
      <x:c r="K29" s="28" t="n">
        <x:v>55</x:v>
      </x:c>
      <x:c r="L29" s="28" t="n">
        <x:v>4</x:v>
      </x:c>
      <x:c r="M29" s="28" t="str">
        <x:v>6970</x:v>
      </x:c>
      <x:c r="N29" s="25"/>
      <x:c r="O29" s="25"/>
      <x:c r="P29" s="25"/>
      <x:c r="Q29" s="25"/>
      <x:c r="R29" s="25"/>
      <x:c r="S29" s="25"/>
      <x:c r="T29" s="25"/>
      <x:c r="U29" s="25"/>
      <x:c r="V29" s="25"/>
    </x:row>
    <x:row r="30">
      <x:c r="A30" s="29" t="str">
        <x:v>65010102</x:v>
      </x:c>
      <x:c r="B30" s="30" t="str">
        <x:v>DANG-I-T-98-E "LEUKEMIA"</x:v>
      </x:c>
      <x:c r="C30" s="30" t="str">
        <x:v>Available</x:v>
      </x:c>
      <x:c r="D30" s="30" t="n">
        <x:v>7670</x:v>
      </x:c>
      <x:c r="E30" s="30" t="n">
        <x:v>0</x:v>
      </x:c>
      <x:c r="F30" s="30" t="n">
        <x:v>4680</x:v>
      </x:c>
      <x:c r="G30" s="30" t="n">
        <x:v>3160</x:v>
      </x:c>
      <x:c r="H30" s="30" t="n">
        <x:v>3.75</x:v>
      </x:c>
      <x:c r="I30" s="30" t="n">
        <x:v>1.85</x:v>
      </x:c>
      <x:c r="J30" s="30" t="n">
        <x:v>410</x:v>
      </x:c>
      <x:c r="K30" s="30" t="n">
        <x:v>42</x:v>
      </x:c>
      <x:c r="L30" s="30" t="n">
        <x:v>4</x:v>
      </x:c>
      <x:c r="M30" s="30" t="str">
        <x:v>6980</x:v>
      </x:c>
      <x:c r="N30" s="25"/>
      <x:c r="O30" s="25"/>
      <x:c r="P30" s="25"/>
      <x:c r="Q30" s="25"/>
      <x:c r="R30" s="25"/>
      <x:c r="S30" s="25"/>
      <x:c r="T30" s="25"/>
      <x:c r="U30" s="25"/>
      <x:c r="V30" s="25"/>
    </x:row>
    <x:row r="31">
      <x:c r="A31" s="29" t="str">
        <x:v>65010103</x:v>
      </x:c>
      <x:c r="B31" s="30" t="str">
        <x:v>DANG-E-R-99-A "PARKINSONS"</x:v>
      </x:c>
      <x:c r="C31" s="30" t="str">
        <x:v>Available</x:v>
      </x:c>
      <x:c r="D31" s="30" t="n">
        <x:v>11010</x:v>
      </x:c>
      <x:c r="E31" s="30" t="n">
        <x:v>0</x:v>
      </x:c>
      <x:c r="F31" s="30" t="n">
        <x:v>5700</x:v>
      </x:c>
      <x:c r="G31" s="30" t="n">
        <x:v>3290</x:v>
      </x:c>
      <x:c r="H31" s="30" t="n">
        <x:v>4.25</x:v>
      </x:c>
      <x:c r="I31" s="30" t="n">
        <x:v>2</x:v>
      </x:c>
      <x:c r="J31" s="30" t="n">
        <x:v>550</x:v>
      </x:c>
      <x:c r="K31" s="30" t="n">
        <x:v>51</x:v>
      </x:c>
      <x:c r="L31" s="30" t="n">
        <x:v>4</x:v>
      </x:c>
      <x:c r="M31" s="30" t="str">
        <x:v>6990</x:v>
      </x:c>
      <x:c r="N31" s="25"/>
      <x:c r="O31" s="25"/>
      <x:c r="P31" s="25"/>
      <x:c r="Q31" s="25"/>
      <x:c r="R31" s="25"/>
      <x:c r="S31" s="25"/>
      <x:c r="T31" s="25"/>
      <x:c r="U31" s="25"/>
      <x:c r="V31" s="25"/>
    </x:row>
    <x:row r="32">
      <x:c r="A32" s="29" t="str">
        <x:v>65010201</x:v>
      </x:c>
      <x:c r="B32" s="30" t="str">
        <x:v>G-MOD_14 AVENA</x:v>
      </x:c>
      <x:c r="C32" s="30" t="str">
        <x:v>Available</x:v>
      </x:c>
      <x:c r="D32" s="30" t="n">
        <x:v>3900</x:v>
      </x:c>
      <x:c r="E32" s="30" t="n">
        <x:v>0</x:v>
      </x:c>
      <x:c r="F32" s="30" t="n">
        <x:v>2980</x:v>
      </x:c>
      <x:c r="G32" s="30" t="n">
        <x:v>3490</x:v>
      </x:c>
      <x:c r="H32" s="30" t="n">
        <x:v>1.444</x:v>
      </x:c>
      <x:c r="I32" s="30" t="n">
        <x:v>1.444</x:v>
      </x:c>
      <x:c r="J32" s="30" t="n">
        <x:v>350</x:v>
      </x:c>
      <x:c r="K32" s="30" t="n">
        <x:v>104</x:v>
      </x:c>
      <x:c r="L32" s="30" t="n">
        <x:v>6</x:v>
      </x:c>
      <x:c r="M32" s="30" t="str">
        <x:v>1842</x:v>
      </x:c>
      <x:c r="N32" s="25"/>
      <x:c r="O32" s="25"/>
      <x:c r="P32" s="25"/>
      <x:c r="Q32" s="25"/>
      <x:c r="R32" s="25"/>
      <x:c r="S32" s="25"/>
      <x:c r="T32" s="25"/>
      <x:c r="U32" s="25"/>
      <x:c r="V32" s="25"/>
    </x:row>
    <x:row r="33">
      <x:c r="A33" s="29" t="str">
        <x:v>65010202</x:v>
      </x:c>
      <x:c r="B33" s="30" t="str">
        <x:v>G-MOD_16 TRITICUM</x:v>
      </x:c>
      <x:c r="C33" s="30" t="str">
        <x:v>Available</x:v>
      </x:c>
      <x:c r="D33" s="30" t="n">
        <x:v>7520</x:v>
      </x:c>
      <x:c r="E33" s="30" t="n">
        <x:v>0</x:v>
      </x:c>
      <x:c r="F33" s="30" t="n">
        <x:v>3970</x:v>
      </x:c>
      <x:c r="G33" s="30" t="n">
        <x:v>3210</x:v>
      </x:c>
      <x:c r="H33" s="30" t="n">
        <x:v>1.3</x:v>
      </x:c>
      <x:c r="I33" s="30" t="n">
        <x:v>1.3</x:v>
      </x:c>
      <x:c r="J33" s="30" t="n">
        <x:v>420</x:v>
      </x:c>
      <x:c r="K33" s="30" t="n">
        <x:v>116</x:v>
      </x:c>
      <x:c r="L33" s="30" t="n">
        <x:v>6</x:v>
      </x:c>
      <x:c r="M33" s="30" t="str">
        <x:v>2842</x:v>
      </x:c>
      <x:c r="N33" s="25"/>
      <x:c r="O33" s="25"/>
      <x:c r="P33" s="25"/>
      <x:c r="Q33" s="25"/>
      <x:c r="R33" s="25"/>
      <x:c r="S33" s="25"/>
      <x:c r="T33" s="25"/>
      <x:c r="U33" s="25"/>
      <x:c r="V33" s="25"/>
    </x:row>
    <x:row r="34">
      <x:c r="A34" s="29" t="str">
        <x:v>65010203</x:v>
      </x:c>
      <x:c r="B34" s="30" t="str">
        <x:v>G-MOD_18 HORDEUM</x:v>
      </x:c>
      <x:c r="C34" s="30" t="str">
        <x:v>Available</x:v>
      </x:c>
      <x:c r="D34" s="30" t="n">
        <x:v>10630</x:v>
      </x:c>
      <x:c r="E34" s="30" t="n">
        <x:v>0</x:v>
      </x:c>
      <x:c r="F34" s="30" t="n">
        <x:v>4300</x:v>
      </x:c>
      <x:c r="G34" s="30" t="n">
        <x:v>3688</x:v>
      </x:c>
      <x:c r="H34" s="30" t="n">
        <x:v>1.777</x:v>
      </x:c>
      <x:c r="I34" s="30" t="n">
        <x:v>1.777</x:v>
      </x:c>
      <x:c r="J34" s="30" t="n">
        <x:v>900</x:v>
      </x:c>
      <x:c r="K34" s="30" t="n">
        <x:v>122</x:v>
      </x:c>
      <x:c r="L34" s="30" t="n">
        <x:v>6</x:v>
      </x:c>
      <x:c r="M34" s="30" t="str">
        <x:v>3842</x:v>
      </x:c>
      <x:c r="N34" s="25"/>
      <x:c r="O34" s="25"/>
      <x:c r="P34" s="25"/>
      <x:c r="Q34" s="25"/>
      <x:c r="R34" s="25"/>
      <x:c r="S34" s="25"/>
      <x:c r="T34" s="25"/>
      <x:c r="U34" s="25"/>
      <x:c r="V34" s="25"/>
    </x:row>
    <x:row r="35">
      <x:c r="A35" s="29" t="str">
        <x:v>65010207</x:v>
      </x:c>
      <x:c r="B35" s="30" t="str">
        <x:v>GV1M04 VALYRIA</x:v>
      </x:c>
      <x:c r="C35" s="30" t="str">
        <x:v>Available</x:v>
      </x:c>
      <x:c r="D35" s="30" t="n">
        <x:v>6820</x:v>
      </x:c>
      <x:c r="E35" s="30" t="n">
        <x:v>0</x:v>
      </x:c>
      <x:c r="F35" s="30" t="n">
        <x:v>3090</x:v>
      </x:c>
      <x:c r="G35" s="30" t="n">
        <x:v>3750</x:v>
      </x:c>
      <x:c r="H35" s="30" t="n">
        <x:v>1.9</x:v>
      </x:c>
      <x:c r="I35" s="30" t="n">
        <x:v>2.2</x:v>
      </x:c>
      <x:c r="J35" s="30" t="n">
        <x:v>2050</x:v>
      </x:c>
      <x:c r="K35" s="30" t="n">
        <x:v>120</x:v>
      </x:c>
      <x:c r="L35" s="30" t="n">
        <x:v>7</x:v>
      </x:c>
      <x:c r="M35" s="30" t="str">
        <x:v>8986</x:v>
      </x:c>
      <x:c r="N35" s="25"/>
      <x:c r="O35" s="25"/>
      <x:c r="P35" s="25"/>
      <x:c r="Q35" s="25"/>
      <x:c r="R35" s="25"/>
      <x:c r="S35" s="25"/>
      <x:c r="T35" s="25"/>
      <x:c r="U35" s="25"/>
      <x:c r="V35" s="25"/>
    </x:row>
    <x:row r="36">
      <x:c r="A36" s="29" t="str">
        <x:v>65010208</x:v>
      </x:c>
      <x:c r="B36" s="30" t="str">
        <x:v>GV1M13 EREBOR</x:v>
      </x:c>
      <x:c r="C36" s="30" t="str">
        <x:v>Available</x:v>
      </x:c>
      <x:c r="D36" s="30" t="n">
        <x:v>9980</x:v>
      </x:c>
      <x:c r="E36" s="30" t="n">
        <x:v>0</x:v>
      </x:c>
      <x:c r="F36" s="30" t="n">
        <x:v>4370</x:v>
      </x:c>
      <x:c r="G36" s="30" t="n">
        <x:v>3940</x:v>
      </x:c>
      <x:c r="H36" s="30" t="n">
        <x:v>1.8</x:v>
      </x:c>
      <x:c r="I36" s="30" t="n">
        <x:v>2.05</x:v>
      </x:c>
      <x:c r="J36" s="30" t="n">
        <x:v>1980</x:v>
      </x:c>
      <x:c r="K36" s="30" t="n">
        <x:v>94</x:v>
      </x:c>
      <x:c r="L36" s="30" t="n">
        <x:v>7</x:v>
      </x:c>
      <x:c r="M36" s="30" t="str">
        <x:v>8987</x:v>
      </x:c>
      <x:c r="N36" s="25"/>
      <x:c r="O36" s="25"/>
      <x:c r="P36" s="25"/>
      <x:c r="Q36" s="25"/>
      <x:c r="R36" s="25"/>
      <x:c r="S36" s="25"/>
      <x:c r="T36" s="25"/>
      <x:c r="U36" s="25"/>
      <x:c r="V36" s="25"/>
    </x:row>
    <x:row r="37">
      <x:c r="A37" s="29" t="str">
        <x:v>65010209</x:v>
      </x:c>
      <x:c r="B37" s="30" t="str">
        <x:v>GV2M17 PYRRHIA (UNAVAILABLE)</x:v>
      </x:c>
      <x:c r="C37" s="30" t="str">
        <x:v>No matching stat row</x:v>
      </x:c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25"/>
      <x:c r="O37" s="25"/>
      <x:c r="P37" s="25"/>
      <x:c r="Q37" s="25"/>
      <x:c r="R37" s="25"/>
      <x:c r="S37" s="25"/>
      <x:c r="T37" s="25"/>
      <x:c r="U37" s="25"/>
      <x:c r="V37" s="25"/>
    </x:row>
    <x:row r="38">
      <x:c r="A38" s="29" t="str">
        <x:v>65010210</x:v>
      </x:c>
      <x:c r="B38" s="30" t="str">
        <x:v>GV2M17 PYRRHIA</x:v>
      </x:c>
      <x:c r="C38" s="30" t="str">
        <x:v>Available</x:v>
      </x:c>
      <x:c r="D38" s="30" t="n">
        <x:v>14800</x:v>
      </x:c>
      <x:c r="E38" s="30" t="n">
        <x:v>0</x:v>
      </x:c>
      <x:c r="F38" s="30" t="n">
        <x:v>5100</x:v>
      </x:c>
      <x:c r="G38" s="30" t="n">
        <x:v>4110</x:v>
      </x:c>
      <x:c r="H38" s="30" t="n">
        <x:v>2</x:v>
      </x:c>
      <x:c r="I38" s="30" t="n">
        <x:v>2.3</x:v>
      </x:c>
      <x:c r="J38" s="30" t="n">
        <x:v>3900</x:v>
      </x:c>
      <x:c r="K38" s="30" t="n">
        <x:v>131</x:v>
      </x:c>
      <x:c r="L38" s="30" t="n">
        <x:v>7</x:v>
      </x:c>
      <x:c r="M38" s="30" t="str">
        <x:v>8993</x:v>
      </x:c>
      <x:c r="N38" s="25"/>
      <x:c r="O38" s="25"/>
      <x:c r="P38" s="25"/>
      <x:c r="Q38" s="25"/>
      <x:c r="R38" s="25"/>
      <x:c r="S38" s="25"/>
      <x:c r="T38" s="25"/>
      <x:c r="U38" s="25"/>
      <x:c r="V38" s="25"/>
    </x:row>
    <x:row r="39">
      <x:c r="A39" s="29" t="str">
        <x:v>65020001</x:v>
      </x:c>
      <x:c r="B39" s="30" t="str">
        <x:v>G-MOD_4 GRAMEN</x:v>
      </x:c>
      <x:c r="C39" s="30" t="str">
        <x:v>Available</x:v>
      </x:c>
      <x:c r="D39" s="30" t="n">
        <x:v>3820</x:v>
      </x:c>
      <x:c r="E39" s="30" t="n">
        <x:v>0</x:v>
      </x:c>
      <x:c r="F39" s="30" t="n">
        <x:v>2310</x:v>
      </x:c>
      <x:c r="G39" s="30" t="n">
        <x:v>3550</x:v>
      </x:c>
      <x:c r="H39" s="30" t="n">
        <x:v>1.02</x:v>
      </x:c>
      <x:c r="I39" s="30" t="n">
        <x:v>2.55</x:v>
      </x:c>
      <x:c r="J39" s="30" t="n">
        <x:v>1000</x:v>
      </x:c>
      <x:c r="K39" s="30" t="n">
        <x:v>130</x:v>
      </x:c>
      <x:c r="L39" s="30" t="n">
        <x:v>3</x:v>
      </x:c>
      <x:c r="M39" s="30" t="str">
        <x:v>7788</x:v>
      </x:c>
      <x:c r="N39" s="25"/>
      <x:c r="O39" s="25"/>
      <x:c r="P39" s="25"/>
      <x:c r="Q39" s="25"/>
      <x:c r="R39" s="25"/>
      <x:c r="S39" s="25"/>
      <x:c r="T39" s="25"/>
      <x:c r="U39" s="25"/>
      <x:c r="V39" s="25"/>
    </x:row>
    <x:row r="40">
      <x:c r="A40" s="29" t="str">
        <x:v>65020002</x:v>
      </x:c>
      <x:c r="B40" s="30" t="str">
        <x:v>G-MOD_8 FARRAGINEM</x:v>
      </x:c>
      <x:c r="C40" s="30" t="str">
        <x:v>Available</x:v>
      </x:c>
      <x:c r="D40" s="30" t="n">
        <x:v>9120</x:v>
      </x:c>
      <x:c r="E40" s="30" t="n">
        <x:v>0</x:v>
      </x:c>
      <x:c r="F40" s="30" t="n">
        <x:v>2500</x:v>
      </x:c>
      <x:c r="G40" s="30" t="n">
        <x:v>3820</x:v>
      </x:c>
      <x:c r="H40" s="30" t="n">
        <x:v>1</x:v>
      </x:c>
      <x:c r="I40" s="30" t="n">
        <x:v>1.9</x:v>
      </x:c>
      <x:c r="J40" s="30" t="n">
        <x:v>1050</x:v>
      </x:c>
      <x:c r="K40" s="30" t="n">
        <x:v>138</x:v>
      </x:c>
      <x:c r="L40" s="30" t="n">
        <x:v>3</x:v>
      </x:c>
      <x:c r="M40" s="30" t="str">
        <x:v>8877</x:v>
      </x:c>
      <x:c r="N40" s="25"/>
      <x:c r="O40" s="25"/>
      <x:c r="P40" s="25"/>
      <x:c r="Q40" s="25"/>
      <x:c r="R40" s="25"/>
      <x:c r="S40" s="25"/>
      <x:c r="T40" s="25"/>
      <x:c r="U40" s="25"/>
      <x:c r="V40" s="25"/>
    </x:row>
    <x:row r="41">
      <x:c r="A41" s="29" t="str">
        <x:v>65020003</x:v>
      </x:c>
      <x:c r="B41" s="30" t="str">
        <x:v>G-MOD_12 PULTICULA</x:v>
      </x:c>
      <x:c r="C41" s="30" t="str">
        <x:v>Available</x:v>
      </x:c>
      <x:c r="D41" s="30" t="n">
        <x:v>12100</x:v>
      </x:c>
      <x:c r="E41" s="30" t="n">
        <x:v>0</x:v>
      </x:c>
      <x:c r="F41" s="30" t="n">
        <x:v>2950</x:v>
      </x:c>
      <x:c r="G41" s="30" t="n">
        <x:v>4130</x:v>
      </x:c>
      <x:c r="H41" s="30" t="n">
        <x:v>1.1</x:v>
      </x:c>
      <x:c r="I41" s="30" t="n">
        <x:v>2.4</x:v>
      </x:c>
      <x:c r="J41" s="30" t="n">
        <x:v>830</x:v>
      </x:c>
      <x:c r="K41" s="30" t="n">
        <x:v>140</x:v>
      </x:c>
      <x:c r="L41" s="30" t="n">
        <x:v>3</x:v>
      </x:c>
      <x:c r="M41" s="30" t="str">
        <x:v>8787</x:v>
      </x:c>
      <x:c r="N41" s="25"/>
      <x:c r="O41" s="25"/>
      <x:c r="P41" s="25"/>
      <x:c r="Q41" s="25"/>
      <x:c r="R41" s="25"/>
      <x:c r="S41" s="25"/>
      <x:c r="T41" s="25"/>
      <x:c r="U41" s="25"/>
      <x:c r="V41" s="25"/>
    </x:row>
    <x:row r="42">
      <x:c r="A42" s="29" t="str">
        <x:v>65030001</x:v>
      </x:c>
      <x:c r="B42" s="30" t="str">
        <x:v>IC-C05G: MNL 050</x:v>
      </x:c>
      <x:c r="C42" s="30" t="str">
        <x:v>No matching stat row</x:v>
      </x:c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25"/>
      <x:c r="O42" s="25"/>
      <x:c r="P42" s="25"/>
      <x:c r="Q42" s="25"/>
      <x:c r="R42" s="25"/>
      <x:c r="S42" s="25"/>
      <x:c r="T42" s="25"/>
      <x:c r="U42" s="25"/>
      <x:c r="V42" s="25"/>
    </x:row>
    <x:row r="43">
      <x:c r="A43" s="29" t="str">
        <x:v>65030002</x:v>
      </x:c>
      <x:c r="B43" s="30" t="str">
        <x:v>ID-C08G: MNL 333</x:v>
      </x:c>
      <x:c r="C43" s="30" t="str">
        <x:v>No matching stat row</x:v>
      </x:c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25"/>
      <x:c r="O43" s="25"/>
      <x:c r="P43" s="25"/>
      <x:c r="Q43" s="25"/>
      <x:c r="R43" s="25"/>
      <x:c r="S43" s="25"/>
      <x:c r="T43" s="25"/>
      <x:c r="U43" s="25"/>
      <x:c r="V43" s="25"/>
    </x:row>
    <x:row r="44">
      <x:c r="A44" s="29" t="str">
        <x:v>65030101</x:v>
      </x:c>
      <x:c r="B44" s="30" t="str">
        <x:v>IB-C03G-C: DEVOURER</x:v>
      </x:c>
      <x:c r="C44" s="30" t="str">
        <x:v>Available</x:v>
      </x:c>
      <x:c r="D44" s="30" t="n">
        <x:v>7980</x:v>
      </x:c>
      <x:c r="E44" s="30" t="n">
        <x:v>0</x:v>
      </x:c>
      <x:c r="F44" s="30" t="n">
        <x:v>4110</x:v>
      </x:c>
      <x:c r="G44" s="30" t="n">
        <x:v>4600</x:v>
      </x:c>
      <x:c r="H44" s="30" t="n">
        <x:v>3.9</x:v>
      </x:c>
      <x:c r="I44" s="30" t="n">
        <x:v>3.85</x:v>
      </x:c>
      <x:c r="J44" s="30" t="n">
        <x:v>3000</x:v>
      </x:c>
      <x:c r="K44" s="30" t="n">
        <x:v>96</x:v>
      </x:c>
      <x:c r="L44" s="30" t="n">
        <x:v>2</x:v>
      </x:c>
      <x:c r="M44" s="30" t="str">
        <x:v>89</x:v>
      </x:c>
      <x:c r="N44" s="25"/>
      <x:c r="O44" s="25"/>
      <x:c r="P44" s="25"/>
      <x:c r="Q44" s="25"/>
      <x:c r="R44" s="25"/>
      <x:c r="S44" s="25"/>
      <x:c r="T44" s="25"/>
      <x:c r="U44" s="25"/>
      <x:c r="V44" s="25"/>
    </x:row>
    <x:row r="45">
      <x:c r="A45" s="29" t="str">
        <x:v>65040201</x:v>
      </x:c>
      <x:c r="B45" s="30" t="str">
        <x:v>AIG03/U: PLAINTIFF LPG</x:v>
      </x:c>
      <x:c r="C45" s="30" t="str">
        <x:v>Available</x:v>
      </x:c>
      <x:c r="D45" s="30" t="n">
        <x:v>3620</x:v>
      </x:c>
      <x:c r="E45" s="30" t="n">
        <x:v>0</x:v>
      </x:c>
      <x:c r="F45" s="30" t="n">
        <x:v>1850</x:v>
      </x:c>
      <x:c r="G45" s="30" t="n">
        <x:v>3790</x:v>
      </x:c>
      <x:c r="H45" s="30" t="n">
        <x:v>0.5</x:v>
      </x:c>
      <x:c r="I45" s="30" t="n">
        <x:v>2.5</x:v>
      </x:c>
      <x:c r="J45" s="30" t="n">
        <x:v>125</x:v>
      </x:c>
      <x:c r="K45" s="30" t="n">
        <x:v>101</x:v>
      </x:c>
      <x:c r="L45" s="30" t="n">
        <x:v>5</x:v>
      </x:c>
      <x:c r="M45" s="30" t="str">
        <x:v>9889</x:v>
      </x:c>
      <x:c r="N45" s="25"/>
      <x:c r="O45" s="25"/>
      <x:c r="P45" s="25"/>
      <x:c r="Q45" s="25"/>
      <x:c r="R45" s="25"/>
      <x:c r="S45" s="25"/>
      <x:c r="T45" s="25"/>
      <x:c r="U45" s="25"/>
      <x:c r="V45" s="25"/>
    </x:row>
    <x:row r="46">
      <x:c r="A46" s="29" t="str">
        <x:v>65040202</x:v>
      </x:c>
      <x:c r="B46" s="30" t="str">
        <x:v>AIG04/U: JUDGE HPG</x:v>
      </x:c>
      <x:c r="C46" s="30" t="str">
        <x:v>Available</x:v>
      </x:c>
      <x:c r="D46" s="30" t="n">
        <x:v>6010</x:v>
      </x:c>
      <x:c r="E46" s="30" t="n">
        <x:v>0</x:v>
      </x:c>
      <x:c r="F46" s="30" t="n">
        <x:v>2700</x:v>
      </x:c>
      <x:c r="G46" s="30" t="n">
        <x:v>4000</x:v>
      </x:c>
      <x:c r="H46" s="30" t="n">
        <x:v>0.65</x:v>
      </x:c>
      <x:c r="I46" s="30" t="n">
        <x:v>4</x:v>
      </x:c>
      <x:c r="J46" s="30" t="n">
        <x:v>400</x:v>
      </x:c>
      <x:c r="K46" s="30" t="n">
        <x:v>115</x:v>
      </x:c>
      <x:c r="L46" s="30" t="n">
        <x:v>5</x:v>
      </x:c>
      <x:c r="M46" s="30" t="str">
        <x:v>8998</x:v>
      </x:c>
      <x:c r="N46" s="25"/>
      <x:c r="O46" s="25"/>
      <x:c r="P46" s="25"/>
      <x:c r="Q46" s="25"/>
      <x:c r="R46" s="25"/>
      <x:c r="S46" s="25"/>
      <x:c r="T46" s="25"/>
      <x:c r="U46" s="25"/>
      <x:c r="V46" s="25"/>
    </x:row>
    <x:row r="47">
      <x:c r="A47" s="29" t="str">
        <x:v>65040203</x:v>
      </x:c>
      <x:c r="B47" s="30" t="str">
        <x:v>AG-K-022 ANZAI</x:v>
      </x:c>
      <x:c r="C47" s="30" t="str">
        <x:v>Available</x:v>
      </x:c>
      <x:c r="D47" s="30" t="n">
        <x:v>6060</x:v>
      </x:c>
      <x:c r="E47" s="30" t="n">
        <x:v>0</x:v>
      </x:c>
      <x:c r="F47" s="30" t="n">
        <x:v>3950</x:v>
      </x:c>
      <x:c r="G47" s="30" t="n">
        <x:v>3760</x:v>
      </x:c>
      <x:c r="H47" s="30" t="n">
        <x:v>0.794</x:v>
      </x:c>
      <x:c r="I47" s="30" t="n">
        <x:v>1.85</x:v>
      </x:c>
      <x:c r="J47" s="30" t="n">
        <x:v>1300</x:v>
      </x:c>
      <x:c r="K47" s="30" t="n">
        <x:v>50</x:v>
      </x:c>
      <x:c r="L47" s="30" t="n">
        <x:v>0</x:v>
      </x:c>
      <x:c r="M47" s="30" t="str">
        <x:v>960</x:v>
      </x:c>
      <x:c r="N47" s="25"/>
      <x:c r="O47" s="25"/>
      <x:c r="P47" s="25"/>
      <x:c r="Q47" s="25"/>
      <x:c r="R47" s="25"/>
      <x:c r="S47" s="25"/>
      <x:c r="T47" s="25"/>
      <x:c r="U47" s="25"/>
      <x:c r="V47" s="25"/>
    </x:row>
    <x:row r="48">
      <x:c r="A48" s="29" t="str">
        <x:v>65040400</x:v>
      </x:c>
      <x:c r="B48" s="30" t="str">
        <x:v>AIG01/U: DEPUTY LEG</x:v>
      </x:c>
      <x:c r="C48" s="30" t="str">
        <x:v>Available</x:v>
      </x:c>
      <x:c r="D48" s="30" t="n">
        <x:v>3895</x:v>
      </x:c>
      <x:c r="E48" s="30" t="n">
        <x:v>0</x:v>
      </x:c>
      <x:c r="F48" s="30" t="n">
        <x:v>2720</x:v>
      </x:c>
      <x:c r="G48" s="30" t="n">
        <x:v>3989</x:v>
      </x:c>
      <x:c r="H48" s="30" t="n">
        <x:v>1.85</x:v>
      </x:c>
      <x:c r="I48" s="30" t="n">
        <x:v>2.9</x:v>
      </x:c>
      <x:c r="J48" s="30" t="n">
        <x:v>640</x:v>
      </x:c>
      <x:c r="K48" s="30" t="n">
        <x:v>91</x:v>
      </x:c>
      <x:c r="L48" s="30" t="n">
        <x:v>1</x:v>
      </x:c>
      <x:c r="M48" s="30" t="str">
        <x:v>989</x:v>
      </x:c>
      <x:c r="N48" s="25"/>
      <x:c r="O48" s="25"/>
      <x:c r="P48" s="25"/>
      <x:c r="Q48" s="25"/>
      <x:c r="R48" s="25"/>
      <x:c r="S48" s="25"/>
      <x:c r="T48" s="25"/>
      <x:c r="U48" s="25"/>
      <x:c r="V48" s="25"/>
    </x:row>
    <x:row r="49">
      <x:c r="A49" s="31" t="str">
        <x:v>65040500</x:v>
      </x:c>
      <x:c r="B49" s="32" t="str">
        <x:v>AIG02/U: MARSHAL HEG</x:v>
      </x:c>
      <x:c r="C49" s="32" t="str">
        <x:v>Available</x:v>
      </x:c>
      <x:c r="D49" s="32" t="n">
        <x:v>9980</x:v>
      </x:c>
      <x:c r="E49" s="32" t="n">
        <x:v>0</x:v>
      </x:c>
      <x:c r="F49" s="32" t="n">
        <x:v>3990</x:v>
      </x:c>
      <x:c r="G49" s="32" t="n">
        <x:v>3550</x:v>
      </x:c>
      <x:c r="H49" s="32" t="n">
        <x:v>2.1</x:v>
      </x:c>
      <x:c r="I49" s="32" t="n">
        <x:v>2.7</x:v>
      </x:c>
      <x:c r="J49" s="32" t="n">
        <x:v>960</x:v>
      </x:c>
      <x:c r="K49" s="32" t="n">
        <x:v>101</x:v>
      </x:c>
      <x:c r="L49" s="32" t="n">
        <x:v>1</x:v>
      </x:c>
      <x:c r="M49" s="32" t="str">
        <x:v>988</x:v>
      </x:c>
      <x:c r="N49" s="25"/>
      <x:c r="O49" s="25"/>
      <x:c r="P49" s="25"/>
      <x:c r="Q49" s="25"/>
      <x:c r="R49" s="25"/>
      <x:c r="S49" s="25"/>
      <x:c r="T49" s="25"/>
      <x:c r="U49" s="25"/>
      <x:c r="V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</x:row>
    <x:row r="52" ht="25" customHeight="1">
      <x:c r="A52" s="41" t="str">
        <x:v>Weapon  •  137 parts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</x:row>
    <x:row r="53" ht="32" customHeight="1">
      <x:c r="A53" s="42" t="str">
        <x:v>ID</x:v>
      </x:c>
      <x:c r="B53" s="42" t="str">
        <x:v>Part Name</x:v>
      </x:c>
      <x:c r="C53" s="42" t="str">
        <x:v>Data Status</x:v>
      </x:c>
      <x:c r="D53" s="42" t="str">
        <x:v>Internal Label</x:v>
      </x:c>
      <x:c r="E53" s="42" t="str">
        <x:v>Menu Category</x:v>
      </x:c>
      <x:c r="F53" s="42" t="str">
        <x:v>Weight</x:v>
      </x:c>
      <x:c r="G53" s="42" t="str">
        <x:v>EN Load</x:v>
      </x:c>
      <x:c r="H53" s="42" t="str">
        <x:v>Attack Power</x:v>
      </x:c>
      <x:c r="I53" s="42" t="str">
        <x:v>Attack Count</x:v>
      </x:c>
      <x:c r="J53" s="42" t="str">
        <x:v>Impact</x:v>
      </x:c>
      <x:c r="K53" s="42" t="str">
        <x:v>Accum. Impact</x:v>
      </x:c>
      <x:c r="L53" s="42" t="str">
        <x:v>Direct Hit</x:v>
      </x:c>
      <x:c r="M53" s="42" t="str">
        <x:v>PA Interference</x:v>
      </x:c>
      <x:c r="N53" s="42" t="str">
        <x:v>Range</x:v>
      </x:c>
      <x:c r="O53" s="42" t="str">
        <x:v>Total Ammo</x:v>
      </x:c>
      <x:c r="P53" s="42" t="str">
        <x:v>Magazine Reload</x:v>
      </x:c>
      <x:c r="Q53" s="42" t="str">
        <x:v>Charge Time</x:v>
      </x:c>
      <x:c r="R53" s="42" t="str">
        <x:v>Charged Attack</x:v>
      </x:c>
      <x:c r="S53" s="42" t="str">
        <x:v>Charged Impact</x:v>
      </x:c>
      <x:c r="T53" s="42" t="str">
        <x:v>Charged Accum. Impact</x:v>
      </x:c>
      <x:c r="U53" s="42" t="str">
        <x:v>Heat per Shot</x:v>
      </x:c>
      <x:c r="V53" s="42" t="str">
        <x:v>Model ID</x:v>
      </x:c>
    </x:row>
    <x:row r="54">
      <x:c r="A54" s="27" t="str">
        <x:v>10000300</x:v>
      </x:c>
      <x:c r="B54" s="28" t="str">
        <x:v>LR-038 FABRICIUS</x:v>
      </x:c>
      <x:c r="C54" s="28" t="str">
        <x:v>Available</x:v>
      </x:c>
      <x:c r="D54" s="28" t="str">
        <x:v>LINEAR RIFLE - LR-038 FABRICIUS (Right)</x:v>
      </x:c>
      <x:c r="E54" s="28" t="n">
        <x:v>1</x:v>
      </x:c>
      <x:c r="F54" s="28" t="n">
        <x:v>7425</x:v>
      </x:c>
      <x:c r="G54" s="28" t="n">
        <x:v>575</x:v>
      </x:c>
      <x:c r="H54" s="28" t="n">
        <x:v>0</x:v>
      </x:c>
      <x:c r="I54" s="28" t="n">
        <x:v>0</x:v>
      </x:c>
      <x:c r="J54" s="28" t="n">
        <x:v>0</x:v>
      </x:c>
      <x:c r="K54" s="28" t="n">
        <x:v>0</x:v>
      </x:c>
      <x:c r="L54" s="28" t="n">
        <x:v>0</x:v>
      </x:c>
      <x:c r="M54" s="28" t="n">
        <x:v>0</x:v>
      </x:c>
      <x:c r="N54" s="28" t="n">
        <x:v>0</x:v>
      </x:c>
      <x:c r="O54" s="28" t="n">
        <x:v>233</x:v>
      </x:c>
      <x:c r="P54" s="28" t="n">
        <x:v>4.2</x:v>
      </x:c>
      <x:c r="Q54" s="28" t="n">
        <x:v>0</x:v>
      </x:c>
      <x:c r="R54" s="28" t="n">
        <x:v>0</x:v>
      </x:c>
      <x:c r="S54" s="28" t="n">
        <x:v>0</x:v>
      </x:c>
      <x:c r="T54" s="28" t="n">
        <x:v>0</x:v>
      </x:c>
      <x:c r="U54" s="28" t="n">
        <x:v>1</x:v>
      </x:c>
      <x:c r="V54" s="28" t="str">
        <x:v>1636</x:v>
      </x:c>
    </x:row>
    <x:row r="55">
      <x:c r="A55" s="29" t="str">
        <x:v>10000400</x:v>
      </x:c>
      <x:c r="B55" s="30" t="str">
        <x:v>MX-12 NUMBER</x:v>
      </x:c>
      <x:c r="C55" s="30" t="str">
        <x:v>Available</x:v>
      </x:c>
      <x:c r="D55" s="30" t="str">
        <x:v>MACHINE GUN - MX-12 NUMBER (Right)</x:v>
      </x:c>
      <x:c r="E55" s="30" t="n">
        <x:v>1</x:v>
      </x:c>
      <x:c r="F55" s="30" t="n">
        <x:v>4010</x:v>
      </x:c>
      <x:c r="G55" s="30" t="n">
        <x:v>120</x:v>
      </x:c>
      <x:c r="H55" s="30" t="n">
        <x:v>0</x:v>
      </x:c>
      <x:c r="I55" s="30" t="n">
        <x:v>0</x:v>
      </x:c>
      <x:c r="J55" s="30" t="n">
        <x:v>0</x:v>
      </x:c>
      <x:c r="K55" s="30" t="n">
        <x:v>0</x:v>
      </x:c>
      <x:c r="L55" s="30" t="n">
        <x:v>0</x:v>
      </x:c>
      <x:c r="M55" s="30" t="n">
        <x:v>0</x:v>
      </x:c>
      <x:c r="N55" s="30" t="n">
        <x:v>0</x:v>
      </x:c>
      <x:c r="O55" s="30" t="n">
        <x:v>420</x:v>
      </x:c>
      <x:c r="P55" s="30" t="n">
        <x:v>0</x:v>
      </x:c>
      <x:c r="Q55" s="30" t="n">
        <x:v>0</x:v>
      </x:c>
      <x:c r="R55" s="30" t="n">
        <x:v>0</x:v>
      </x:c>
      <x:c r="S55" s="30" t="n">
        <x:v>0</x:v>
      </x:c>
      <x:c r="T55" s="30" t="n">
        <x:v>0</x:v>
      </x:c>
      <x:c r="U55" s="30" t="n">
        <x:v>1</x:v>
      </x:c>
      <x:c r="V55" s="30" t="str">
        <x:v>1821</x:v>
      </x:c>
    </x:row>
    <x:row r="56">
      <x:c r="A56" s="29" t="str">
        <x:v>10000500</x:v>
      </x:c>
      <x:c r="B56" s="30" t="str">
        <x:v>CRAZ-E-R-16-LE "SIMPLEPUNK"</x:v>
      </x:c>
      <x:c r="C56" s="30" t="str">
        <x:v>Available</x:v>
      </x:c>
      <x:c r="D56" s="30" t="str">
        <x:v>INCENDIARY RIFLE - CRAZ-E-B-09-SL SIMPLEPUNK (Right)</x:v>
      </x:c>
      <x:c r="E56" s="30" t="n">
        <x:v>1</x:v>
      </x:c>
      <x:c r="F56" s="30" t="n">
        <x:v>3990</x:v>
      </x:c>
      <x:c r="G56" s="30" t="n">
        <x:v>119</x:v>
      </x:c>
      <x:c r="H56" s="30" t="n">
        <x:v>0</x:v>
      </x:c>
      <x:c r="I56" s="30" t="n">
        <x:v>0</x:v>
      </x:c>
      <x:c r="J56" s="30" t="n">
        <x:v>0</x:v>
      </x:c>
      <x:c r="K56" s="30" t="n">
        <x:v>0</x:v>
      </x:c>
      <x:c r="L56" s="30" t="n">
        <x:v>0</x:v>
      </x:c>
      <x:c r="M56" s="30" t="n">
        <x:v>0</x:v>
      </x:c>
      <x:c r="N56" s="30" t="n">
        <x:v>0</x:v>
      </x:c>
      <x:c r="O56" s="30" t="n">
        <x:v>324</x:v>
      </x:c>
      <x:c r="P56" s="30" t="n">
        <x:v>2.15</x:v>
      </x:c>
      <x:c r="Q56" s="30" t="n">
        <x:v>0</x:v>
      </x:c>
      <x:c r="R56" s="30" t="n">
        <x:v>0</x:v>
      </x:c>
      <x:c r="S56" s="30" t="n">
        <x:v>0</x:v>
      </x:c>
      <x:c r="T56" s="30" t="n">
        <x:v>0</x:v>
      </x:c>
      <x:c r="U56" s="30" t="n">
        <x:v>1</x:v>
      </x:c>
      <x:c r="V56" s="30" t="str">
        <x:v>1616</x:v>
      </x:c>
    </x:row>
    <x:row r="57">
      <x:c r="A57" s="29" t="str">
        <x:v>10010300</x:v>
      </x:c>
      <x:c r="B57" s="30" t="str">
        <x:v>IA-C01A1: LUNAR</x:v>
      </x:c>
      <x:c r="C57" s="30" t="str">
        <x:v>Available</x:v>
      </x:c>
      <x:c r="D57" s="30" t="str">
        <x:v>LIGHT WAVE RIFLE - IA-C01A1: LUNAR (Right)</x:v>
      </x:c>
      <x:c r="E57" s="30" t="n">
        <x:v>1</x:v>
      </x:c>
      <x:c r="F57" s="30" t="n">
        <x:v>3620</x:v>
      </x:c>
      <x:c r="G57" s="30" t="n">
        <x:v>502</x:v>
      </x:c>
      <x:c r="H57" s="30" t="n">
        <x:v>0</x:v>
      </x:c>
      <x:c r="I57" s="30" t="n">
        <x:v>0</x:v>
      </x:c>
      <x:c r="J57" s="30" t="n">
        <x:v>0</x:v>
      </x:c>
      <x:c r="K57" s="30" t="n">
        <x:v>0</x:v>
      </x:c>
      <x:c r="L57" s="30" t="n">
        <x:v>0</x:v>
      </x:c>
      <x:c r="M57" s="30" t="n">
        <x:v>0</x:v>
      </x:c>
      <x:c r="N57" s="30" t="n">
        <x:v>0</x:v>
      </x:c>
      <x:c r="O57" s="30" t="n">
        <x:v>360</x:v>
      </x:c>
      <x:c r="P57" s="30" t="n">
        <x:v>2.4</x:v>
      </x:c>
      <x:c r="Q57" s="30" t="n">
        <x:v>0</x:v>
      </x:c>
      <x:c r="R57" s="30" t="n">
        <x:v>0</x:v>
      </x:c>
      <x:c r="S57" s="30" t="n">
        <x:v>0</x:v>
      </x:c>
      <x:c r="T57" s="30" t="n">
        <x:v>0</x:v>
      </x:c>
      <x:c r="U57" s="30" t="n">
        <x:v>1</x:v>
      </x:c>
      <x:c r="V57" s="30" t="str">
        <x:v>2840</x:v>
      </x:c>
    </x:row>
    <x:row r="58">
      <x:c r="A58" s="29" t="str">
        <x:v>10010400</x:v>
      </x:c>
      <x:c r="B58" s="30" t="str">
        <x:v>LSN-039 ADRIAN</x:v>
      </x:c>
      <x:c r="C58" s="30" t="str">
        <x:v>Available</x:v>
      </x:c>
      <x:c r="D58" s="30" t="str">
        <x:v>LINEAR SNIPER RIFLE - LSN-039 ADRIAN (Right)</x:v>
      </x:c>
      <x:c r="E58" s="30" t="n">
        <x:v>1</x:v>
      </x:c>
      <x:c r="F58" s="30" t="n">
        <x:v>4910</x:v>
      </x:c>
      <x:c r="G58" s="30" t="n">
        <x:v>102</x:v>
      </x:c>
      <x:c r="H58" s="30" t="n">
        <x:v>0</x:v>
      </x:c>
      <x:c r="I58" s="30" t="n">
        <x:v>0</x:v>
      </x:c>
      <x:c r="J58" s="30" t="n">
        <x:v>0</x:v>
      </x:c>
      <x:c r="K58" s="30" t="n">
        <x:v>0</x:v>
      </x:c>
      <x:c r="L58" s="30" t="n">
        <x:v>0</x:v>
      </x:c>
      <x:c r="M58" s="30" t="n">
        <x:v>0</x:v>
      </x:c>
      <x:c r="N58" s="30" t="n">
        <x:v>0</x:v>
      </x:c>
      <x:c r="O58" s="30" t="n">
        <x:v>64</x:v>
      </x:c>
      <x:c r="P58" s="30" t="n">
        <x:v>2.6</x:v>
      </x:c>
      <x:c r="Q58" s="30" t="n">
        <x:v>0</x:v>
      </x:c>
      <x:c r="R58" s="30" t="n">
        <x:v>0</x:v>
      </x:c>
      <x:c r="S58" s="30" t="n">
        <x:v>0</x:v>
      </x:c>
      <x:c r="T58" s="30" t="n">
        <x:v>0</x:v>
      </x:c>
      <x:c r="U58" s="30" t="n">
        <x:v>1</x:v>
      </x:c>
      <x:c r="V58" s="30" t="str">
        <x:v>1690</x:v>
      </x:c>
    </x:row>
    <x:row r="59">
      <x:c r="A59" s="29" t="str">
        <x:v>10010500</x:v>
      </x:c>
      <x:c r="B59" s="30" t="str">
        <x:v>AX-24 GENESIS</x:v>
      </x:c>
      <x:c r="C59" s="30" t="str">
        <x:v>Available</x:v>
      </x:c>
      <x:c r="D59" s="30" t="str">
        <x:v>DOUBLE ASSAULT RIFLE - AX-24 GENESIS (Right)</x:v>
      </x:c>
      <x:c r="E59" s="30" t="n">
        <x:v>1</x:v>
      </x:c>
      <x:c r="F59" s="30" t="n">
        <x:v>5110</x:v>
      </x:c>
      <x:c r="G59" s="30" t="n">
        <x:v>277</x:v>
      </x:c>
      <x:c r="H59" s="30" t="n">
        <x:v>0</x:v>
      </x:c>
      <x:c r="I59" s="30" t="n">
        <x:v>0</x:v>
      </x:c>
      <x:c r="J59" s="30" t="n">
        <x:v>0</x:v>
      </x:c>
      <x:c r="K59" s="30" t="n">
        <x:v>0</x:v>
      </x:c>
      <x:c r="L59" s="30" t="n">
        <x:v>0</x:v>
      </x:c>
      <x:c r="M59" s="30" t="n">
        <x:v>0</x:v>
      </x:c>
      <x:c r="N59" s="30" t="n">
        <x:v>0</x:v>
      </x:c>
      <x:c r="O59" s="30" t="n">
        <x:v>510</x:v>
      </x:c>
      <x:c r="P59" s="30" t="n">
        <x:v>3.5</x:v>
      </x:c>
      <x:c r="Q59" s="30" t="n">
        <x:v>0</x:v>
      </x:c>
      <x:c r="R59" s="30" t="n">
        <x:v>0</x:v>
      </x:c>
      <x:c r="S59" s="30" t="n">
        <x:v>0</x:v>
      </x:c>
      <x:c r="T59" s="30" t="n">
        <x:v>0</x:v>
      </x:c>
      <x:c r="U59" s="30" t="n">
        <x:v>1</x:v>
      </x:c>
      <x:c r="V59" s="30" t="str">
        <x:v>1740</x:v>
      </x:c>
    </x:row>
    <x:row r="60">
      <x:c r="A60" s="29" t="str">
        <x:v>10010600</x:v>
      </x:c>
      <x:c r="B60" s="30" t="str">
        <x:v>HI-11: GU-RR/F</x:v>
      </x:c>
      <x:c r="C60" s="30" t="str">
        <x:v>Available</x:v>
      </x:c>
      <x:c r="D60" s="30" t="str">
        <x:v>HYPERPULSE RIFLE - HI-11: GU-RR/F (Right)</x:v>
      </x:c>
      <x:c r="E60" s="30" t="n">
        <x:v>1</x:v>
      </x:c>
      <x:c r="F60" s="30" t="n">
        <x:v>2910</x:v>
      </x:c>
      <x:c r="G60" s="30" t="n">
        <x:v>468</x:v>
      </x:c>
      <x:c r="H60" s="30" t="n">
        <x:v>0</x:v>
      </x:c>
      <x:c r="I60" s="30" t="n">
        <x:v>0</x:v>
      </x:c>
      <x:c r="J60" s="30" t="n">
        <x:v>0</x:v>
      </x:c>
      <x:c r="K60" s="30" t="n">
        <x:v>0</x:v>
      </x:c>
      <x:c r="L60" s="30" t="n">
        <x:v>0</x:v>
      </x:c>
      <x:c r="M60" s="30" t="n">
        <x:v>0</x:v>
      </x:c>
      <x:c r="N60" s="30" t="n">
        <x:v>0</x:v>
      </x:c>
      <x:c r="O60" s="30" t="n">
        <x:v>200</x:v>
      </x:c>
      <x:c r="P60" s="30" t="n">
        <x:v>0</x:v>
      </x:c>
      <x:c r="Q60" s="30" t="n">
        <x:v>0</x:v>
      </x:c>
      <x:c r="R60" s="30" t="n">
        <x:v>0</x:v>
      </x:c>
      <x:c r="S60" s="30" t="n">
        <x:v>0</x:v>
      </x:c>
      <x:c r="T60" s="30" t="n">
        <x:v>0</x:v>
      </x:c>
      <x:c r="U60" s="30" t="n">
        <x:v>1</x:v>
      </x:c>
      <x:c r="V60" s="30" t="str">
        <x:v>1001</x:v>
      </x:c>
    </x:row>
    <x:row r="61">
      <x:c r="A61" s="29" t="str">
        <x:v>10020400</x:v>
      </x:c>
      <x:c r="B61" s="30" t="str">
        <x:v>VP-66LM</x:v>
      </x:c>
      <x:c r="C61" s="30" t="str">
        <x:v>Available</x:v>
      </x:c>
      <x:c r="D61" s="30" t="str">
        <x:v>LASER MACHINE GUN - VP-66LM (Right)</x:v>
      </x:c>
      <x:c r="E61" s="30" t="n">
        <x:v>1</x:v>
      </x:c>
      <x:c r="F61" s="30" t="n">
        <x:v>2090</x:v>
      </x:c>
      <x:c r="G61" s="30" t="n">
        <x:v>515</x:v>
      </x:c>
      <x:c r="H61" s="30" t="n">
        <x:v>0</x:v>
      </x:c>
      <x:c r="I61" s="30" t="n">
        <x:v>0</x:v>
      </x:c>
      <x:c r="J61" s="30" t="n">
        <x:v>0</x:v>
      </x:c>
      <x:c r="K61" s="30" t="n">
        <x:v>0</x:v>
      </x:c>
      <x:c r="L61" s="30" t="n">
        <x:v>0</x:v>
      </x:c>
      <x:c r="M61" s="30" t="n">
        <x:v>0</x:v>
      </x:c>
      <x:c r="N61" s="30" t="n">
        <x:v>0</x:v>
      </x:c>
      <x:c r="O61" s="30" t="n">
        <x:v>1100</x:v>
      </x:c>
      <x:c r="P61" s="30" t="n">
        <x:v>1.5</x:v>
      </x:c>
      <x:c r="Q61" s="30" t="n">
        <x:v>0</x:v>
      </x:c>
      <x:c r="R61" s="30" t="n">
        <x:v>0</x:v>
      </x:c>
      <x:c r="S61" s="30" t="n">
        <x:v>0</x:v>
      </x:c>
      <x:c r="T61" s="30" t="n">
        <x:v>0</x:v>
      </x:c>
      <x:c r="U61" s="30" t="n">
        <x:v>1</x:v>
      </x:c>
      <x:c r="V61" s="30" t="str">
        <x:v>1850</x:v>
      </x:c>
    </x:row>
    <x:row r="62">
      <x:c r="A62" s="29" t="str">
        <x:v>10020500</x:v>
      </x:c>
      <x:c r="B62" s="30" t="str">
        <x:v>WM-5678 TYPEWRITER</x:v>
      </x:c>
      <x:c r="C62" s="30" t="str">
        <x:v>Available</x:v>
      </x:c>
      <x:c r="D62" s="30" t="str">
        <x:v>HEAVY MACHINE GUN - MG-016 THOMSON (Right)</x:v>
      </x:c>
      <x:c r="E62" s="30" t="n">
        <x:v>1</x:v>
      </x:c>
      <x:c r="F62" s="30" t="n">
        <x:v>6450</x:v>
      </x:c>
      <x:c r="G62" s="30" t="n">
        <x:v>214</x:v>
      </x:c>
      <x:c r="H62" s="30" t="n">
        <x:v>0</x:v>
      </x:c>
      <x:c r="I62" s="30" t="n">
        <x:v>0</x:v>
      </x:c>
      <x:c r="J62" s="30" t="n">
        <x:v>0</x:v>
      </x:c>
      <x:c r="K62" s="30" t="n">
        <x:v>0</x:v>
      </x:c>
      <x:c r="L62" s="30" t="n">
        <x:v>0</x:v>
      </x:c>
      <x:c r="M62" s="30" t="n">
        <x:v>0</x:v>
      </x:c>
      <x:c r="N62" s="30" t="n">
        <x:v>0</x:v>
      </x:c>
      <x:c r="O62" s="30" t="n">
        <x:v>750</x:v>
      </x:c>
      <x:c r="P62" s="30" t="n">
        <x:v>4.2</x:v>
      </x:c>
      <x:c r="Q62" s="30" t="n">
        <x:v>0</x:v>
      </x:c>
      <x:c r="R62" s="30" t="n">
        <x:v>0</x:v>
      </x:c>
      <x:c r="S62" s="30" t="n">
        <x:v>0</x:v>
      </x:c>
      <x:c r="T62" s="30" t="n">
        <x:v>0</x:v>
      </x:c>
      <x:c r="U62" s="30" t="n">
        <x:v>1</x:v>
      </x:c>
      <x:c r="V62" s="30" t="str">
        <x:v>1845</x:v>
      </x:c>
    </x:row>
    <x:row r="63">
      <x:c r="A63" s="29" t="str">
        <x:v>10020600</x:v>
      </x:c>
      <x:c r="B63" s="30" t="str">
        <x:v>WD-6767 MACKIE</x:v>
      </x:c>
      <x:c r="C63" s="30" t="str">
        <x:v>Available</x:v>
      </x:c>
      <x:c r="D63" s="30" t="str">
        <x:v>MACHINE HANDGUN - WD-6767 MACKIE (Right)</x:v>
      </x:c>
      <x:c r="E63" s="30" t="n">
        <x:v>1</x:v>
      </x:c>
      <x:c r="F63" s="30" t="n">
        <x:v>1650</x:v>
      </x:c>
      <x:c r="G63" s="30" t="n">
        <x:v>104</x:v>
      </x:c>
      <x:c r="H63" s="30" t="n">
        <x:v>0</x:v>
      </x:c>
      <x:c r="I63" s="30" t="n">
        <x:v>0</x:v>
      </x:c>
      <x:c r="J63" s="30" t="n">
        <x:v>0</x:v>
      </x:c>
      <x:c r="K63" s="30" t="n">
        <x:v>0</x:v>
      </x:c>
      <x:c r="L63" s="30" t="n">
        <x:v>0</x:v>
      </x:c>
      <x:c r="M63" s="30" t="n">
        <x:v>0</x:v>
      </x:c>
      <x:c r="N63" s="30" t="n">
        <x:v>0</x:v>
      </x:c>
      <x:c r="O63" s="30" t="n">
        <x:v>420</x:v>
      </x:c>
      <x:c r="P63" s="30" t="n">
        <x:v>1.2</x:v>
      </x:c>
      <x:c r="Q63" s="30" t="n">
        <x:v>0</x:v>
      </x:c>
      <x:c r="R63" s="30" t="n">
        <x:v>0</x:v>
      </x:c>
      <x:c r="S63" s="30" t="n">
        <x:v>0</x:v>
      </x:c>
      <x:c r="T63" s="30" t="n">
        <x:v>0</x:v>
      </x:c>
      <x:c r="U63" s="30" t="n">
        <x:v>1</x:v>
      </x:c>
      <x:c r="V63" s="30" t="str">
        <x:v>1810</x:v>
      </x:c>
    </x:row>
    <x:row r="64">
      <x:c r="A64" s="29" t="str">
        <x:v>10030100</x:v>
      </x:c>
      <x:c r="B64" s="30" t="str">
        <x:v>DF-SC-01 HAI-DAN</x:v>
      </x:c>
      <x:c r="C64" s="30" t="str">
        <x:v>Available</x:v>
      </x:c>
      <x:c r="D64" s="30" t="str">
        <x:v>SIMPLE GATLING GUN - DF-SC-01 HAI-DAN (Right)</x:v>
      </x:c>
      <x:c r="E64" s="30" t="n">
        <x:v>1</x:v>
      </x:c>
      <x:c r="F64" s="30" t="n">
        <x:v>4800</x:v>
      </x:c>
      <x:c r="G64" s="30" t="n">
        <x:v>393</x:v>
      </x:c>
      <x:c r="H64" s="30" t="n">
        <x:v>0</x:v>
      </x:c>
      <x:c r="I64" s="30" t="n">
        <x:v>0</x:v>
      </x:c>
      <x:c r="J64" s="30" t="n">
        <x:v>0</x:v>
      </x:c>
      <x:c r="K64" s="30" t="n">
        <x:v>0</x:v>
      </x:c>
      <x:c r="L64" s="30" t="n">
        <x:v>0</x:v>
      </x:c>
      <x:c r="M64" s="30" t="n">
        <x:v>0</x:v>
      </x:c>
      <x:c r="N64" s="30" t="n">
        <x:v>0</x:v>
      </x:c>
      <x:c r="O64" s="30" t="n">
        <x:v>980</x:v>
      </x:c>
      <x:c r="P64" s="30" t="n">
        <x:v>0</x:v>
      </x:c>
      <x:c r="Q64" s="30" t="n">
        <x:v>0</x:v>
      </x:c>
      <x:c r="R64" s="30" t="n">
        <x:v>0</x:v>
      </x:c>
      <x:c r="S64" s="30" t="n">
        <x:v>0</x:v>
      </x:c>
      <x:c r="T64" s="30" t="n">
        <x:v>0</x:v>
      </x:c>
      <x:c r="U64" s="30" t="n">
        <x:v>1</x:v>
      </x:c>
      <x:c r="V64" s="30" t="str">
        <x:v>1911</x:v>
      </x:c>
    </x:row>
    <x:row r="65">
      <x:c r="A65" s="29" t="str">
        <x:v>10030300</x:v>
      </x:c>
      <x:c r="B65" s="30" t="str">
        <x:v>GX-68 LAMENTATION</x:v>
      </x:c>
      <x:c r="C65" s="30" t="str">
        <x:v>Available</x:v>
      </x:c>
      <x:c r="D65" s="30" t="str">
        <x:v>DIFFUSION GATLING GUN - GX-68 LAMENTATION (Right)</x:v>
      </x:c>
      <x:c r="E65" s="30" t="n">
        <x:v>1</x:v>
      </x:c>
      <x:c r="F65" s="30" t="n">
        <x:v>7340</x:v>
      </x:c>
      <x:c r="G65" s="30" t="n">
        <x:v>602</x:v>
      </x:c>
      <x:c r="H65" s="30" t="n">
        <x:v>0</x:v>
      </x:c>
      <x:c r="I65" s="30" t="n">
        <x:v>0</x:v>
      </x:c>
      <x:c r="J65" s="30" t="n">
        <x:v>0</x:v>
      </x:c>
      <x:c r="K65" s="30" t="n">
        <x:v>0</x:v>
      </x:c>
      <x:c r="L65" s="30" t="n">
        <x:v>0</x:v>
      </x:c>
      <x:c r="M65" s="30" t="n">
        <x:v>0</x:v>
      </x:c>
      <x:c r="N65" s="30" t="n">
        <x:v>0</x:v>
      </x:c>
      <x:c r="O65" s="30" t="n">
        <x:v>3960</x:v>
      </x:c>
      <x:c r="P65" s="30" t="n">
        <x:v>0</x:v>
      </x:c>
      <x:c r="Q65" s="30" t="n">
        <x:v>0</x:v>
      </x:c>
      <x:c r="R65" s="30" t="n">
        <x:v>0</x:v>
      </x:c>
      <x:c r="S65" s="30" t="n">
        <x:v>0</x:v>
      </x:c>
      <x:c r="T65" s="30" t="n">
        <x:v>0</x:v>
      </x:c>
      <x:c r="U65" s="30" t="n">
        <x:v>1</x:v>
      </x:c>
      <x:c r="V65" s="30" t="str">
        <x:v>1915</x:v>
      </x:c>
    </x:row>
    <x:row r="66">
      <x:c r="A66" s="29" t="str">
        <x:v>10031000</x:v>
      </x:c>
      <x:c r="B66" s="30" t="str">
        <x:v>MA-G-102 MADO</x:v>
      </x:c>
      <x:c r="C66" s="30" t="str">
        <x:v>Available</x:v>
      </x:c>
      <x:c r="D66" s="30" t="str">
        <x:v>BURST GATLING GUN - MA-G-102 MADO (Right)</x:v>
      </x:c>
      <x:c r="E66" s="30" t="n">
        <x:v>1</x:v>
      </x:c>
      <x:c r="F66" s="30" t="n">
        <x:v>5500</x:v>
      </x:c>
      <x:c r="G66" s="30" t="n">
        <x:v>444</x:v>
      </x:c>
      <x:c r="H66" s="30" t="n">
        <x:v>0</x:v>
      </x:c>
      <x:c r="I66" s="30" t="n">
        <x:v>0</x:v>
      </x:c>
      <x:c r="J66" s="30" t="n">
        <x:v>0</x:v>
      </x:c>
      <x:c r="K66" s="30" t="n">
        <x:v>0</x:v>
      </x:c>
      <x:c r="L66" s="30" t="n">
        <x:v>0</x:v>
      </x:c>
      <x:c r="M66" s="30" t="n">
        <x:v>0</x:v>
      </x:c>
      <x:c r="N66" s="30" t="n">
        <x:v>0</x:v>
      </x:c>
      <x:c r="O66" s="30" t="n">
        <x:v>1250</x:v>
      </x:c>
      <x:c r="P66" s="30" t="n">
        <x:v>0</x:v>
      </x:c>
      <x:c r="Q66" s="30" t="n">
        <x:v>0</x:v>
      </x:c>
      <x:c r="R66" s="30" t="n">
        <x:v>0</x:v>
      </x:c>
      <x:c r="S66" s="30" t="n">
        <x:v>0</x:v>
      </x:c>
      <x:c r="T66" s="30" t="n">
        <x:v>0</x:v>
      </x:c>
      <x:c r="U66" s="30" t="n">
        <x:v>1</x:v>
      </x:c>
      <x:c r="V66" s="30" t="str">
        <x:v>1930</x:v>
      </x:c>
    </x:row>
    <x:row r="67">
      <x:c r="A67" s="29" t="str">
        <x:v>10040300</x:v>
      </x:c>
      <x:c r="B67" s="30" t="str">
        <x:v>CRAZ-L-O-32-OP "BUNKAPUNK"</x:v>
      </x:c>
      <x:c r="C67" s="30" t="str">
        <x:v>Available</x:v>
      </x:c>
      <x:c r="D67" s="30" t="str">
        <x:v>PILE LAUNCHER - PB-034 ALLARD (Right)</x:v>
      </x:c>
      <x:c r="E67" s="30" t="n">
        <x:v>1</x:v>
      </x:c>
      <x:c r="F67" s="30" t="n">
        <x:v>4510</x:v>
      </x:c>
      <x:c r="G67" s="30" t="n">
        <x:v>262</x:v>
      </x:c>
      <x:c r="H67" s="30" t="n">
        <x:v>0</x:v>
      </x:c>
      <x:c r="I67" s="30" t="n">
        <x:v>0</x:v>
      </x:c>
      <x:c r="J67" s="30" t="n">
        <x:v>0</x:v>
      </x:c>
      <x:c r="K67" s="30" t="n">
        <x:v>0</x:v>
      </x:c>
      <x:c r="L67" s="30" t="n">
        <x:v>0</x:v>
      </x:c>
      <x:c r="M67" s="30" t="n">
        <x:v>0</x:v>
      </x:c>
      <x:c r="N67" s="30" t="n">
        <x:v>0</x:v>
      </x:c>
      <x:c r="O67" s="30" t="n">
        <x:v>49</x:v>
      </x:c>
      <x:c r="P67" s="30" t="n">
        <x:v>3.8</x:v>
      </x:c>
      <x:c r="Q67" s="30" t="n">
        <x:v>0</x:v>
      </x:c>
      <x:c r="R67" s="30" t="n">
        <x:v>0</x:v>
      </x:c>
      <x:c r="S67" s="30" t="n">
        <x:v>0</x:v>
      </x:c>
      <x:c r="T67" s="30" t="n">
        <x:v>0</x:v>
      </x:c>
      <x:c r="U67" s="30" t="n">
        <x:v>1</x:v>
      </x:c>
      <x:c r="V67" s="30" t="str">
        <x:v>1841</x:v>
      </x:c>
    </x:row>
    <x:row r="68">
      <x:c r="A68" s="29" t="str">
        <x:v>10040400</x:v>
      </x:c>
      <x:c r="B68" s="30" t="str">
        <x:v>VP-66LRH</x:v>
      </x:c>
      <x:c r="C68" s="30" t="str">
        <x:v>Available</x:v>
      </x:c>
      <x:c r="D68" s="30" t="str">
        <x:v>HEAVY LASER RIFLE - VP-66LRH (Right)</x:v>
      </x:c>
      <x:c r="E68" s="30" t="n">
        <x:v>1</x:v>
      </x:c>
      <x:c r="F68" s="30" t="n">
        <x:v>5000</x:v>
      </x:c>
      <x:c r="G68" s="30" t="n">
        <x:v>566</x:v>
      </x:c>
      <x:c r="H68" s="30" t="n">
        <x:v>4</x:v>
      </x:c>
      <x:c r="I68" s="30" t="n">
        <x:v>4</x:v>
      </x:c>
      <x:c r="J68" s="30" t="n">
        <x:v>4</x:v>
      </x:c>
      <x:c r="K68" s="30" t="n">
        <x:v>4</x:v>
      </x:c>
      <x:c r="L68" s="30" t="n">
        <x:v>4</x:v>
      </x:c>
      <x:c r="M68" s="30" t="n">
        <x:v>4</x:v>
      </x:c>
      <x:c r="N68" s="30" t="n">
        <x:v>0</x:v>
      </x:c>
      <x:c r="O68" s="30" t="n">
        <x:v>81</x:v>
      </x:c>
      <x:c r="P68" s="30" t="n">
        <x:v>0</x:v>
      </x:c>
      <x:c r="Q68" s="30" t="n">
        <x:v>0</x:v>
      </x:c>
      <x:c r="R68" s="30" t="n">
        <x:v>0</x:v>
      </x:c>
      <x:c r="S68" s="30" t="n">
        <x:v>0</x:v>
      </x:c>
      <x:c r="T68" s="30" t="n">
        <x:v>0</x:v>
      </x:c>
      <x:c r="U68" s="30" t="n">
        <x:v>1</x:v>
      </x:c>
      <x:c r="V68" s="30" t="str">
        <x:v>2623</x:v>
      </x:c>
    </x:row>
    <x:row r="69">
      <x:c r="A69" s="29" t="str">
        <x:v>10050300</x:v>
      </x:c>
      <x:c r="B69" s="30" t="str">
        <x:v>MA-G-103 TAMURA</x:v>
      </x:c>
      <x:c r="C69" s="30" t="str">
        <x:v>Available</x:v>
      </x:c>
      <x:c r="D69" s="30" t="str">
        <x:v>BURST SHOTGUN - MA-G-103 TAMURA (Right)</x:v>
      </x:c>
      <x:c r="E69" s="30" t="n">
        <x:v>1</x:v>
      </x:c>
      <x:c r="F69" s="30" t="n">
        <x:v>4110</x:v>
      </x:c>
      <x:c r="G69" s="30" t="n">
        <x:v>202</x:v>
      </x:c>
      <x:c r="H69" s="30" t="n">
        <x:v>0</x:v>
      </x:c>
      <x:c r="I69" s="30" t="n">
        <x:v>0</x:v>
      </x:c>
      <x:c r="J69" s="30" t="n">
        <x:v>0</x:v>
      </x:c>
      <x:c r="K69" s="30" t="n">
        <x:v>0</x:v>
      </x:c>
      <x:c r="L69" s="30" t="n">
        <x:v>0</x:v>
      </x:c>
      <x:c r="M69" s="30" t="n">
        <x:v>0</x:v>
      </x:c>
      <x:c r="N69" s="30" t="n">
        <x:v>0</x:v>
      </x:c>
      <x:c r="O69" s="30" t="n">
        <x:v>60</x:v>
      </x:c>
      <x:c r="P69" s="30" t="n">
        <x:v>4.3</x:v>
      </x:c>
      <x:c r="Q69" s="30" t="n">
        <x:v>0</x:v>
      </x:c>
      <x:c r="R69" s="30" t="n">
        <x:v>0</x:v>
      </x:c>
      <x:c r="S69" s="30" t="n">
        <x:v>0</x:v>
      </x:c>
      <x:c r="T69" s="30" t="n">
        <x:v>0</x:v>
      </x:c>
      <x:c r="U69" s="30" t="n">
        <x:v>1</x:v>
      </x:c>
      <x:c r="V69" s="30" t="str">
        <x:v>1540</x:v>
      </x:c>
    </x:row>
    <x:row r="70">
      <x:c r="A70" s="29" t="str">
        <x:v>10050400</x:v>
      </x:c>
      <x:c r="B70" s="30" t="str">
        <x:v>SG-028 SPIELMAN</x:v>
      </x:c>
      <x:c r="C70" s="30" t="str">
        <x:v>Available</x:v>
      </x:c>
      <x:c r="D70" s="30" t="str">
        <x:v>SHOTGUN - SG-028 SPIELMAN (Right)</x:v>
      </x:c>
      <x:c r="E70" s="30" t="n">
        <x:v>1</x:v>
      </x:c>
      <x:c r="F70" s="30" t="n">
        <x:v>5120</x:v>
      </x:c>
      <x:c r="G70" s="30" t="n">
        <x:v>367</x:v>
      </x:c>
      <x:c r="H70" s="30" t="n">
        <x:v>0</x:v>
      </x:c>
      <x:c r="I70" s="30" t="n">
        <x:v>0</x:v>
      </x:c>
      <x:c r="J70" s="30" t="n">
        <x:v>0</x:v>
      </x:c>
      <x:c r="K70" s="30" t="n">
        <x:v>0</x:v>
      </x:c>
      <x:c r="L70" s="30" t="n">
        <x:v>0</x:v>
      </x:c>
      <x:c r="M70" s="30" t="n">
        <x:v>0</x:v>
      </x:c>
      <x:c r="N70" s="30" t="n">
        <x:v>0</x:v>
      </x:c>
      <x:c r="O70" s="30" t="n">
        <x:v>43</x:v>
      </x:c>
      <x:c r="P70" s="30" t="n">
        <x:v>2.8</x:v>
      </x:c>
      <x:c r="Q70" s="30" t="n">
        <x:v>0</x:v>
      </x:c>
      <x:c r="R70" s="30" t="n">
        <x:v>0</x:v>
      </x:c>
      <x:c r="S70" s="30" t="n">
        <x:v>0</x:v>
      </x:c>
      <x:c r="T70" s="30" t="n">
        <x:v>0</x:v>
      </x:c>
      <x:c r="U70" s="30" t="n">
        <x:v>1</x:v>
      </x:c>
      <x:c r="V70" s="30" t="str">
        <x:v>1530</x:v>
      </x:c>
    </x:row>
    <x:row r="71">
      <x:c r="A71" s="29" t="str">
        <x:v>10060200</x:v>
      </x:c>
      <x:c r="B71" s="30" t="str">
        <x:v>DF-GR-10 BAO-ZHA</x:v>
      </x:c>
      <x:c r="C71" s="30" t="str">
        <x:v>Available</x:v>
      </x:c>
      <x:c r="D71" s="30" t="str">
        <x:v>GRENADE SHOTGUN - DF-GR-10 BAO-ZHA (Right)</x:v>
      </x:c>
      <x:c r="E71" s="30" t="n">
        <x:v>1</x:v>
      </x:c>
      <x:c r="F71" s="30" t="n">
        <x:v>7296</x:v>
      </x:c>
      <x:c r="G71" s="30" t="n">
        <x:v>391</x:v>
      </x:c>
      <x:c r="H71" s="30" t="n">
        <x:v>0</x:v>
      </x:c>
      <x:c r="I71" s="30" t="n">
        <x:v>0</x:v>
      </x:c>
      <x:c r="J71" s="30" t="n">
        <x:v>0</x:v>
      </x:c>
      <x:c r="K71" s="30" t="n">
        <x:v>0</x:v>
      </x:c>
      <x:c r="L71" s="30" t="n">
        <x:v>0</x:v>
      </x:c>
      <x:c r="M71" s="30" t="n">
        <x:v>0</x:v>
      </x:c>
      <x:c r="N71" s="30" t="n">
        <x:v>0</x:v>
      </x:c>
      <x:c r="O71" s="30" t="n">
        <x:v>18</x:v>
      </x:c>
      <x:c r="P71" s="30" t="n">
        <x:v>6.6</x:v>
      </x:c>
      <x:c r="Q71" s="30" t="n">
        <x:v>0</x:v>
      </x:c>
      <x:c r="R71" s="30" t="n">
        <x:v>0</x:v>
      </x:c>
      <x:c r="S71" s="30" t="n">
        <x:v>0</x:v>
      </x:c>
      <x:c r="T71" s="30" t="n">
        <x:v>0</x:v>
      </x:c>
      <x:c r="U71" s="30" t="n">
        <x:v>1</x:v>
      </x:c>
      <x:c r="V71" s="30" t="str">
        <x:v>1311</x:v>
      </x:c>
    </x:row>
    <x:row r="72">
      <x:c r="A72" s="29" t="str">
        <x:v>10060300</x:v>
      </x:c>
      <x:c r="B72" s="30" t="str">
        <x:v>CRAZ-B-0-00-OM "BOOMERPUNK"</x:v>
      </x:c>
      <x:c r="C72" s="30" t="str">
        <x:v>Available</x:v>
      </x:c>
      <x:c r="D72" s="30" t="str">
        <x:v>NAPALM GRENADE LAUNCHER - CRAZ-B-0-00-OM BOOMERPUNK (Right)</x:v>
      </x:c>
      <x:c r="E72" s="30" t="n">
        <x:v>1</x:v>
      </x:c>
      <x:c r="F72" s="30" t="n">
        <x:v>5120</x:v>
      </x:c>
      <x:c r="G72" s="30" t="n">
        <x:v>326</x:v>
      </x:c>
      <x:c r="H72" s="30" t="n">
        <x:v>1</x:v>
      </x:c>
      <x:c r="I72" s="30" t="n">
        <x:v>0</x:v>
      </x:c>
      <x:c r="J72" s="30" t="n">
        <x:v>0</x:v>
      </x:c>
      <x:c r="K72" s="30" t="n">
        <x:v>0</x:v>
      </x:c>
      <x:c r="L72" s="30" t="n">
        <x:v>0</x:v>
      </x:c>
      <x:c r="M72" s="30" t="n">
        <x:v>0</x:v>
      </x:c>
      <x:c r="N72" s="30" t="n">
        <x:v>0</x:v>
      </x:c>
      <x:c r="O72" s="30" t="n">
        <x:v>36</x:v>
      </x:c>
      <x:c r="P72" s="30" t="n">
        <x:v>6.1</x:v>
      </x:c>
      <x:c r="Q72" s="30" t="n">
        <x:v>0</x:v>
      </x:c>
      <x:c r="R72" s="30" t="n">
        <x:v>0</x:v>
      </x:c>
      <x:c r="S72" s="30" t="n">
        <x:v>0</x:v>
      </x:c>
      <x:c r="T72" s="30" t="n">
        <x:v>0</x:v>
      </x:c>
      <x:c r="U72" s="30" t="n">
        <x:v>1</x:v>
      </x:c>
      <x:c r="V72" s="30" t="str">
        <x:v>1434</x:v>
      </x:c>
    </x:row>
    <x:row r="73">
      <x:c r="A73" s="29" t="str">
        <x:v>10070400</x:v>
      </x:c>
      <x:c r="B73" s="30" t="str">
        <x:v>CRAZ-Y-B-33-ZZ "HORNETPUNK"</x:v>
      </x:c>
      <x:c r="C73" s="30" t="str">
        <x:v>Available</x:v>
      </x:c>
      <x:c r="D73" s="30" t="str">
        <x:v>SINGLE MISSILE LAUNCHER - WM-6000 HORNET (Right)</x:v>
      </x:c>
      <x:c r="E73" s="30" t="n">
        <x:v>1</x:v>
      </x:c>
      <x:c r="F73" s="30" t="n">
        <x:v>1450</x:v>
      </x:c>
      <x:c r="G73" s="30" t="n">
        <x:v>131</x:v>
      </x:c>
      <x:c r="H73" s="30" t="n">
        <x:v>0</x:v>
      </x:c>
      <x:c r="I73" s="30" t="n">
        <x:v>0</x:v>
      </x:c>
      <x:c r="J73" s="30" t="n">
        <x:v>0</x:v>
      </x:c>
      <x:c r="K73" s="30" t="n">
        <x:v>0</x:v>
      </x:c>
      <x:c r="L73" s="30" t="n">
        <x:v>0</x:v>
      </x:c>
      <x:c r="M73" s="30" t="n">
        <x:v>0</x:v>
      </x:c>
      <x:c r="N73" s="30" t="n">
        <x:v>1</x:v>
      </x:c>
      <x:c r="O73" s="30" t="n">
        <x:v>200</x:v>
      </x:c>
      <x:c r="P73" s="30" t="n">
        <x:v>5.2</x:v>
      </x:c>
      <x:c r="Q73" s="30" t="n">
        <x:v>0</x:v>
      </x:c>
      <x:c r="R73" s="30" t="n">
        <x:v>0</x:v>
      </x:c>
      <x:c r="S73" s="30" t="n">
        <x:v>0</x:v>
      </x:c>
      <x:c r="T73" s="30" t="n">
        <x:v>0</x:v>
      </x:c>
      <x:c r="U73" s="30" t="n">
        <x:v>1</x:v>
      </x:c>
      <x:c r="V73" s="30" t="str">
        <x:v>3011</x:v>
      </x:c>
    </x:row>
    <x:row r="74">
      <x:c r="A74" s="29" t="str">
        <x:v>10070500</x:v>
      </x:c>
      <x:c r="B74" s="30" t="str">
        <x:v>HG-005 ARNETT</x:v>
      </x:c>
      <x:c r="C74" s="30" t="str">
        <x:v>Available</x:v>
      </x:c>
      <x:c r="D74" s="30" t="str">
        <x:v>HANDGUN - HG-005 ARNETT (Right)</x:v>
      </x:c>
      <x:c r="E74" s="30" t="n">
        <x:v>1</x:v>
      </x:c>
      <x:c r="F74" s="30" t="n">
        <x:v>1790</x:v>
      </x:c>
      <x:c r="G74" s="30" t="n">
        <x:v>170</x:v>
      </x:c>
      <x:c r="H74" s="30" t="n">
        <x:v>0</x:v>
      </x:c>
      <x:c r="I74" s="30" t="n">
        <x:v>0</x:v>
      </x:c>
      <x:c r="J74" s="30" t="n">
        <x:v>0</x:v>
      </x:c>
      <x:c r="K74" s="30" t="n">
        <x:v>0</x:v>
      </x:c>
      <x:c r="L74" s="30" t="n">
        <x:v>0</x:v>
      </x:c>
      <x:c r="M74" s="30" t="n">
        <x:v>0</x:v>
      </x:c>
      <x:c r="N74" s="30" t="n">
        <x:v>0</x:v>
      </x:c>
      <x:c r="O74" s="30" t="n">
        <x:v>185</x:v>
      </x:c>
      <x:c r="P74" s="30" t="n">
        <x:v>2.3</x:v>
      </x:c>
      <x:c r="Q74" s="30" t="n">
        <x:v>0</x:v>
      </x:c>
      <x:c r="R74" s="30" t="n">
        <x:v>0</x:v>
      </x:c>
      <x:c r="S74" s="30" t="n">
        <x:v>0</x:v>
      </x:c>
      <x:c r="T74" s="30" t="n">
        <x:v>0</x:v>
      </x:c>
      <x:c r="U74" s="30" t="n">
        <x:v>1</x:v>
      </x:c>
      <x:c r="V74" s="30" t="str">
        <x:v>1521</x:v>
      </x:c>
    </x:row>
    <x:row r="75">
      <x:c r="A75" s="29" t="str">
        <x:v>10070600</x:v>
      </x:c>
      <x:c r="B75" s="30" t="str">
        <x:v>VX-660TG</x:v>
      </x:c>
      <x:c r="C75" s="30" t="str">
        <x:v>Available</x:v>
      </x:c>
      <x:c r="D75" s="30" t="str">
        <x:v>TESLA GUN - VX-660TG (Right)</x:v>
      </x:c>
      <x:c r="E75" s="30" t="n">
        <x:v>1</x:v>
      </x:c>
      <x:c r="F75" s="30" t="n">
        <x:v>2670</x:v>
      </x:c>
      <x:c r="G75" s="30" t="n">
        <x:v>601</x:v>
      </x:c>
      <x:c r="H75" s="30" t="n">
        <x:v>0</x:v>
      </x:c>
      <x:c r="I75" s="30" t="n">
        <x:v>0</x:v>
      </x:c>
      <x:c r="J75" s="30" t="n">
        <x:v>0</x:v>
      </x:c>
      <x:c r="K75" s="30" t="n">
        <x:v>0</x:v>
      </x:c>
      <x:c r="L75" s="30" t="n">
        <x:v>0</x:v>
      </x:c>
      <x:c r="M75" s="30" t="n">
        <x:v>0</x:v>
      </x:c>
      <x:c r="N75" s="30" t="n">
        <x:v>0</x:v>
      </x:c>
      <x:c r="O75" s="30" t="n">
        <x:v>88</x:v>
      </x:c>
      <x:c r="P75" s="30" t="n">
        <x:v>-1</x:v>
      </x:c>
      <x:c r="Q75" s="30" t="n">
        <x:v>0</x:v>
      </x:c>
      <x:c r="R75" s="30" t="n">
        <x:v>0</x:v>
      </x:c>
      <x:c r="S75" s="30" t="n">
        <x:v>0</x:v>
      </x:c>
      <x:c r="T75" s="30" t="n">
        <x:v>0</x:v>
      </x:c>
      <x:c r="U75" s="30" t="n">
        <x:v>1</x:v>
      </x:c>
      <x:c r="V75" s="30" t="str">
        <x:v>2222</x:v>
      </x:c>
    </x:row>
    <x:row r="76">
      <x:c r="A76" s="29" t="str">
        <x:v>10070700</x:v>
      </x:c>
      <x:c r="B76" s="30" t="str">
        <x:v>DF-HG-040 BING-CHILING</x:v>
      </x:c>
      <x:c r="C76" s="30" t="str">
        <x:v>Available</x:v>
      </x:c>
      <x:c r="D76" s="30" t="str">
        <x:v>HANDGUN - DF-HG-040 BING-CHILING (Right)</x:v>
      </x:c>
      <x:c r="E76" s="30" t="n">
        <x:v>1</x:v>
      </x:c>
      <x:c r="F76" s="30" t="n">
        <x:v>620</x:v>
      </x:c>
      <x:c r="G76" s="30" t="n">
        <x:v>144</x:v>
      </x:c>
      <x:c r="H76" s="30" t="n">
        <x:v>0</x:v>
      </x:c>
      <x:c r="I76" s="30" t="n">
        <x:v>0</x:v>
      </x:c>
      <x:c r="J76" s="30" t="n">
        <x:v>0</x:v>
      </x:c>
      <x:c r="K76" s="30" t="n">
        <x:v>0</x:v>
      </x:c>
      <x:c r="L76" s="30" t="n">
        <x:v>0</x:v>
      </x:c>
      <x:c r="M76" s="30" t="n">
        <x:v>0</x:v>
      </x:c>
      <x:c r="N76" s="30" t="n">
        <x:v>0</x:v>
      </x:c>
      <x:c r="O76" s="30" t="n">
        <x:v>2021</x:v>
      </x:c>
      <x:c r="P76" s="30" t="n">
        <x:v>1</x:v>
      </x:c>
      <x:c r="Q76" s="30" t="n">
        <x:v>0</x:v>
      </x:c>
      <x:c r="R76" s="30" t="n">
        <x:v>0</x:v>
      </x:c>
      <x:c r="S76" s="30" t="n">
        <x:v>0</x:v>
      </x:c>
      <x:c r="T76" s="30" t="n">
        <x:v>0</x:v>
      </x:c>
      <x:c r="U76" s="30" t="n">
        <x:v>1</x:v>
      </x:c>
      <x:c r="V76" s="30" t="str">
        <x:v>1831</x:v>
      </x:c>
    </x:row>
    <x:row r="77">
      <x:c r="A77" s="29" t="str">
        <x:v>10080300</x:v>
      </x:c>
      <x:c r="B77" s="30" t="str">
        <x:v>Vvc-761DD</x:v>
      </x:c>
      <x:c r="C77" s="30" t="str">
        <x:v>Available</x:v>
      </x:c>
      <x:c r="D77" s="30" t="str">
        <x:v>DRONE LAUNCHER - Vvc-761DL (Right)</x:v>
      </x:c>
      <x:c r="E77" s="30" t="n">
        <x:v>1</x:v>
      </x:c>
      <x:c r="F77" s="30" t="n">
        <x:v>3170</x:v>
      </x:c>
      <x:c r="G77" s="30" t="n">
        <x:v>187</x:v>
      </x:c>
      <x:c r="H77" s="30" t="n">
        <x:v>4</x:v>
      </x:c>
      <x:c r="I77" s="30" t="n">
        <x:v>4</x:v>
      </x:c>
      <x:c r="J77" s="30" t="n">
        <x:v>4</x:v>
      </x:c>
      <x:c r="K77" s="30" t="n">
        <x:v>4</x:v>
      </x:c>
      <x:c r="L77" s="30" t="n">
        <x:v>4</x:v>
      </x:c>
      <x:c r="M77" s="30" t="n">
        <x:v>4</x:v>
      </x:c>
      <x:c r="N77" s="30" t="n">
        <x:v>4</x:v>
      </x:c>
      <x:c r="O77" s="30" t="n">
        <x:v>120</x:v>
      </x:c>
      <x:c r="P77" s="30" t="n">
        <x:v>9.8</x:v>
      </x:c>
      <x:c r="Q77" s="30" t="n">
        <x:v>0</x:v>
      </x:c>
      <x:c r="R77" s="30" t="n">
        <x:v>4</x:v>
      </x:c>
      <x:c r="S77" s="30" t="n">
        <x:v>4</x:v>
      </x:c>
      <x:c r="T77" s="30" t="n">
        <x:v>4</x:v>
      </x:c>
      <x:c r="U77" s="30" t="n">
        <x:v>1</x:v>
      </x:c>
      <x:c r="V77" s="30" t="str">
        <x:v>2111</x:v>
      </x:c>
    </x:row>
    <x:row r="78">
      <x:c r="A78" s="29" t="str">
        <x:v>10080400</x:v>
      </x:c>
      <x:c r="B78" s="30" t="str">
        <x:v>HI-25: GU-B7</x:v>
      </x:c>
      <x:c r="C78" s="30" t="str">
        <x:v>Available</x:v>
      </x:c>
      <x:c r="D78" s="30" t="str">
        <x:v>PULSE BOMB LAUNCHER - HI-25: GU-B7 (Right)</x:v>
      </x:c>
      <x:c r="E78" s="30" t="n">
        <x:v>1</x:v>
      </x:c>
      <x:c r="F78" s="30" t="n">
        <x:v>3110</x:v>
      </x:c>
      <x:c r="G78" s="30" t="n">
        <x:v>414</x:v>
      </x:c>
      <x:c r="H78" s="30" t="n">
        <x:v>1</x:v>
      </x:c>
      <x:c r="I78" s="30" t="n">
        <x:v>0</x:v>
      </x:c>
      <x:c r="J78" s="30" t="n">
        <x:v>0</x:v>
      </x:c>
      <x:c r="K78" s="30" t="n">
        <x:v>0</x:v>
      </x:c>
      <x:c r="L78" s="30" t="n">
        <x:v>0</x:v>
      </x:c>
      <x:c r="M78" s="30" t="n">
        <x:v>0</x:v>
      </x:c>
      <x:c r="N78" s="30" t="n">
        <x:v>0</x:v>
      </x:c>
      <x:c r="O78" s="30" t="n">
        <x:v>19</x:v>
      </x:c>
      <x:c r="P78" s="30" t="n">
        <x:v>6.5</x:v>
      </x:c>
      <x:c r="Q78" s="30" t="n">
        <x:v>0</x:v>
      </x:c>
      <x:c r="R78" s="30" t="n">
        <x:v>0</x:v>
      </x:c>
      <x:c r="S78" s="30" t="n">
        <x:v>0</x:v>
      </x:c>
      <x:c r="T78" s="30" t="n">
        <x:v>0</x:v>
      </x:c>
      <x:c r="U78" s="30" t="n">
        <x:v>1</x:v>
      </x:c>
      <x:c r="V78" s="30" t="str">
        <x:v>2112</x:v>
      </x:c>
    </x:row>
    <x:row r="79">
      <x:c r="A79" s="29" t="str">
        <x:v>10080500</x:v>
      </x:c>
      <x:c r="B79" s="30" t="str">
        <x:v>MA-T-220 MORI</x:v>
      </x:c>
      <x:c r="C79" s="30" t="str">
        <x:v>Available</x:v>
      </x:c>
      <x:c r="D79" s="30" t="str">
        <x:v>BOMB LAUNCHER - MA-T-220 MORI (Right)</x:v>
      </x:c>
      <x:c r="E79" s="30" t="n">
        <x:v>1</x:v>
      </x:c>
      <x:c r="F79" s="30" t="n">
        <x:v>2890</x:v>
      </x:c>
      <x:c r="G79" s="30" t="n">
        <x:v>95</x:v>
      </x:c>
      <x:c r="H79" s="30" t="n">
        <x:v>2</x:v>
      </x:c>
      <x:c r="I79" s="30" t="n">
        <x:v>0</x:v>
      </x:c>
      <x:c r="J79" s="30" t="n">
        <x:v>2</x:v>
      </x:c>
      <x:c r="K79" s="30" t="n">
        <x:v>2</x:v>
      </x:c>
      <x:c r="L79" s="30" t="n">
        <x:v>1</x:v>
      </x:c>
      <x:c r="M79" s="30" t="n">
        <x:v>2</x:v>
      </x:c>
      <x:c r="N79" s="30" t="n">
        <x:v>0</x:v>
      </x:c>
      <x:c r="O79" s="30" t="n">
        <x:v>62</x:v>
      </x:c>
      <x:c r="P79" s="30" t="n">
        <x:v>6.2</x:v>
      </x:c>
      <x:c r="Q79" s="30" t="n">
        <x:v>0</x:v>
      </x:c>
      <x:c r="R79" s="30" t="n">
        <x:v>1</x:v>
      </x:c>
      <x:c r="S79" s="30" t="n">
        <x:v>1</x:v>
      </x:c>
      <x:c r="T79" s="30" t="n">
        <x:v>1</x:v>
      </x:c>
      <x:c r="U79" s="30" t="n">
        <x:v>1</x:v>
      </x:c>
      <x:c r="V79" s="30" t="str">
        <x:v>2110</x:v>
      </x:c>
    </x:row>
    <x:row r="80">
      <x:c r="A80" s="29" t="str">
        <x:v>10080600</x:v>
      </x:c>
      <x:c r="B80" s="30" t="str">
        <x:v>CRAZ-E-D-01-LY "OILPUNK"</x:v>
      </x:c>
      <x:c r="C80" s="30" t="str">
        <x:v>Available</x:v>
      </x:c>
      <x:c r="D80" s="30" t="str">
        <x:v>TAR BOMB LAUNCHER - TAR (Right)</x:v>
      </x:c>
      <x:c r="E80" s="30" t="n">
        <x:v>1</x:v>
      </x:c>
      <x:c r="F80" s="30" t="n">
        <x:v>2900</x:v>
      </x:c>
      <x:c r="G80" s="30" t="n">
        <x:v>88</x:v>
      </x:c>
      <x:c r="H80" s="30" t="n">
        <x:v>1</x:v>
      </x:c>
      <x:c r="I80" s="30" t="n">
        <x:v>0</x:v>
      </x:c>
      <x:c r="J80" s="30" t="n">
        <x:v>1</x:v>
      </x:c>
      <x:c r="K80" s="30" t="n">
        <x:v>1</x:v>
      </x:c>
      <x:c r="L80" s="30" t="n">
        <x:v>1</x:v>
      </x:c>
      <x:c r="M80" s="30" t="n">
        <x:v>1</x:v>
      </x:c>
      <x:c r="N80" s="30" t="n">
        <x:v>0</x:v>
      </x:c>
      <x:c r="O80" s="30" t="n">
        <x:v>120</x:v>
      </x:c>
      <x:c r="P80" s="30" t="n">
        <x:v>4</x:v>
      </x:c>
      <x:c r="Q80" s="30" t="n">
        <x:v>0</x:v>
      </x:c>
      <x:c r="R80" s="30" t="n">
        <x:v>0</x:v>
      </x:c>
      <x:c r="S80" s="30" t="n">
        <x:v>0</x:v>
      </x:c>
      <x:c r="T80" s="30" t="n">
        <x:v>0</x:v>
      </x:c>
      <x:c r="U80" s="30" t="n">
        <x:v>1</x:v>
      </x:c>
      <x:c r="V80" s="30" t="str">
        <x:v>1118</x:v>
      </x:c>
    </x:row>
    <x:row r="81">
      <x:c r="A81" s="29" t="str">
        <x:v>10090200</x:v>
      </x:c>
      <x:c r="B81" s="30" t="str">
        <x:v>M-MOD_3 ARABLEST</x:v>
      </x:c>
      <x:c r="C81" s="30" t="str">
        <x:v>Available</x:v>
      </x:c>
      <x:c r="D81" s="30" t="str">
        <x:v>PLASMA MISSILE LAUNCHER - M-MOD_3 VESTIGIUM (Right)</x:v>
      </x:c>
      <x:c r="E81" s="30" t="n">
        <x:v>1</x:v>
      </x:c>
      <x:c r="F81" s="30" t="n">
        <x:v>3870</x:v>
      </x:c>
      <x:c r="G81" s="30" t="n">
        <x:v>235</x:v>
      </x:c>
      <x:c r="H81" s="30" t="n">
        <x:v>1</x:v>
      </x:c>
      <x:c r="I81" s="30" t="n">
        <x:v>1</x:v>
      </x:c>
      <x:c r="J81" s="30" t="n">
        <x:v>1</x:v>
      </x:c>
      <x:c r="K81" s="30" t="n">
        <x:v>1</x:v>
      </x:c>
      <x:c r="L81" s="30" t="n">
        <x:v>1</x:v>
      </x:c>
      <x:c r="M81" s="30" t="n">
        <x:v>1</x:v>
      </x:c>
      <x:c r="N81" s="30" t="n">
        <x:v>0</x:v>
      </x:c>
      <x:c r="O81" s="30" t="n">
        <x:v>160</x:v>
      </x:c>
      <x:c r="P81" s="30" t="n">
        <x:v>3.7</x:v>
      </x:c>
      <x:c r="Q81" s="30" t="n">
        <x:v>0</x:v>
      </x:c>
      <x:c r="R81" s="30" t="n">
        <x:v>1</x:v>
      </x:c>
      <x:c r="S81" s="30" t="n">
        <x:v>1</x:v>
      </x:c>
      <x:c r="T81" s="30" t="n">
        <x:v>1</x:v>
      </x:c>
      <x:c r="U81" s="30" t="n">
        <x:v>1</x:v>
      </x:c>
      <x:c r="V81" s="30" t="str">
        <x:v>2228</x:v>
      </x:c>
    </x:row>
    <x:row r="82">
      <x:c r="A82" s="29" t="str">
        <x:v>10110400</x:v>
      </x:c>
      <x:c r="B82" s="30" t="str">
        <x:v>VE-66SN</x:v>
      </x:c>
      <x:c r="C82" s="30" t="str">
        <x:v>Available</x:v>
      </x:c>
      <x:c r="D82" s="30" t="str">
        <x:v>LASER SNIPER RIFLE - VE-66SN (Right)</x:v>
      </x:c>
      <x:c r="E82" s="30" t="n">
        <x:v>1</x:v>
      </x:c>
      <x:c r="F82" s="30" t="n">
        <x:v>4940</x:v>
      </x:c>
      <x:c r="G82" s="30" t="n">
        <x:v>525</x:v>
      </x:c>
      <x:c r="H82" s="30" t="n">
        <x:v>0</x:v>
      </x:c>
      <x:c r="I82" s="30" t="n">
        <x:v>0</x:v>
      </x:c>
      <x:c r="J82" s="30" t="n">
        <x:v>0</x:v>
      </x:c>
      <x:c r="K82" s="30" t="n">
        <x:v>0</x:v>
      </x:c>
      <x:c r="L82" s="30" t="n">
        <x:v>0</x:v>
      </x:c>
      <x:c r="M82" s="30" t="n">
        <x:v>0</x:v>
      </x:c>
      <x:c r="N82" s="30" t="n">
        <x:v>0</x:v>
      </x:c>
      <x:c r="O82" s="30" t="n">
        <x:v>70</x:v>
      </x:c>
      <x:c r="P82" s="30" t="n">
        <x:v>0</x:v>
      </x:c>
      <x:c r="Q82" s="30" t="n">
        <x:v>0</x:v>
      </x:c>
      <x:c r="R82" s="30" t="n">
        <x:v>0</x:v>
      </x:c>
      <x:c r="S82" s="30" t="n">
        <x:v>0</x:v>
      </x:c>
      <x:c r="T82" s="30" t="n">
        <x:v>0</x:v>
      </x:c>
      <x:c r="U82" s="30" t="n">
        <x:v>1</x:v>
      </x:c>
      <x:c r="V82" s="30" t="str">
        <x:v>2121</x:v>
      </x:c>
    </x:row>
    <x:row r="83">
      <x:c r="A83" s="29" t="str">
        <x:v>10110500</x:v>
      </x:c>
      <x:c r="B83" s="30" t="str">
        <x:v>IB-C03W1: WLT 011/EN</x:v>
      </x:c>
      <x:c r="C83" s="30" t="str">
        <x:v>Available</x:v>
      </x:c>
      <x:c r="D83" s="30" t="str">
        <x:v>LASER RIFLE - IB-C03W1: WLT 011/EN (Right)</x:v>
      </x:c>
      <x:c r="E83" s="30" t="n">
        <x:v>1</x:v>
      </x:c>
      <x:c r="F83" s="30" t="n">
        <x:v>9010</x:v>
      </x:c>
      <x:c r="G83" s="30" t="n">
        <x:v>750</x:v>
      </x:c>
      <x:c r="H83" s="30" t="n">
        <x:v>0</x:v>
      </x:c>
      <x:c r="I83" s="30" t="n">
        <x:v>0</x:v>
      </x:c>
      <x:c r="J83" s="30" t="n">
        <x:v>0</x:v>
      </x:c>
      <x:c r="K83" s="30" t="n">
        <x:v>0</x:v>
      </x:c>
      <x:c r="L83" s="30" t="n">
        <x:v>0</x:v>
      </x:c>
      <x:c r="M83" s="30" t="n">
        <x:v>0</x:v>
      </x:c>
      <x:c r="N83" s="30" t="n">
        <x:v>0</x:v>
      </x:c>
      <x:c r="O83" s="30" t="n">
        <x:v>245</x:v>
      </x:c>
      <x:c r="P83" s="30" t="n">
        <x:v>0</x:v>
      </x:c>
      <x:c r="Q83" s="30" t="n">
        <x:v>0</x:v>
      </x:c>
      <x:c r="R83" s="30" t="n">
        <x:v>0</x:v>
      </x:c>
      <x:c r="S83" s="30" t="n">
        <x:v>0</x:v>
      </x:c>
      <x:c r="T83" s="30" t="n">
        <x:v>0</x:v>
      </x:c>
      <x:c r="U83" s="30" t="n">
        <x:v>1</x:v>
      </x:c>
      <x:c r="V83" s="30" t="str">
        <x:v>2732</x:v>
      </x:c>
    </x:row>
    <x:row r="84">
      <x:c r="A84" s="29" t="str">
        <x:v>10110800</x:v>
      </x:c>
      <x:c r="B84" s="30" t="str">
        <x:v>IB-C03W6: CLA 020</x:v>
      </x:c>
      <x:c r="C84" s="30" t="str">
        <x:v>Available</x:v>
      </x:c>
      <x:c r="D84" s="30" t="str">
        <x:v>CORAL HANDGUN - IB-C03W6: CLA 020 (Right)</x:v>
      </x:c>
      <x:c r="E84" s="30" t="n">
        <x:v>1</x:v>
      </x:c>
      <x:c r="F84" s="30" t="n">
        <x:v>3210</x:v>
      </x:c>
      <x:c r="G84" s="30" t="n">
        <x:v>445</x:v>
      </x:c>
      <x:c r="H84" s="30" t="n">
        <x:v>0</x:v>
      </x:c>
      <x:c r="I84" s="30" t="n">
        <x:v>0</x:v>
      </x:c>
      <x:c r="J84" s="30" t="n">
        <x:v>0</x:v>
      </x:c>
      <x:c r="K84" s="30" t="n">
        <x:v>0</x:v>
      </x:c>
      <x:c r="L84" s="30" t="n">
        <x:v>0</x:v>
      </x:c>
      <x:c r="M84" s="30" t="n">
        <x:v>0</x:v>
      </x:c>
      <x:c r="N84" s="30" t="n">
        <x:v>0</x:v>
      </x:c>
      <x:c r="O84" s="30" t="n">
        <x:v>95</x:v>
      </x:c>
      <x:c r="P84" s="30" t="n">
        <x:v>0</x:v>
      </x:c>
      <x:c r="Q84" s="30" t="n">
        <x:v>0</x:v>
      </x:c>
      <x:c r="R84" s="30" t="n">
        <x:v>0</x:v>
      </x:c>
      <x:c r="S84" s="30" t="n">
        <x:v>0</x:v>
      </x:c>
      <x:c r="T84" s="30" t="n">
        <x:v>0</x:v>
      </x:c>
      <x:c r="U84" s="30" t="n">
        <x:v>1</x:v>
      </x:c>
      <x:c r="V84" s="30" t="str">
        <x:v>2731</x:v>
      </x:c>
    </x:row>
    <x:row r="85">
      <x:c r="A85" s="29" t="str">
        <x:v>10120200</x:v>
      </x:c>
      <x:c r="B85" s="30" t="str">
        <x:v>S-MOD_8 GLADIUS</x:v>
      </x:c>
      <x:c r="C85" s="30" t="str">
        <x:v>Available</x:v>
      </x:c>
      <x:c r="D85" s="30" t="str">
        <x:v>PLASMA SHOTGUN - Vvc-710PS (Right)</x:v>
      </x:c>
      <x:c r="E85" s="30" t="n">
        <x:v>1</x:v>
      </x:c>
      <x:c r="F85" s="30" t="n">
        <x:v>5630</x:v>
      </x:c>
      <x:c r="G85" s="30" t="n">
        <x:v>500</x:v>
      </x:c>
      <x:c r="H85" s="30" t="n">
        <x:v>1</x:v>
      </x:c>
      <x:c r="I85" s="30" t="n">
        <x:v>1</x:v>
      </x:c>
      <x:c r="J85" s="30" t="n">
        <x:v>1</x:v>
      </x:c>
      <x:c r="K85" s="30" t="n">
        <x:v>1</x:v>
      </x:c>
      <x:c r="L85" s="30" t="n">
        <x:v>1</x:v>
      </x:c>
      <x:c r="M85" s="30" t="n">
        <x:v>1</x:v>
      </x:c>
      <x:c r="N85" s="30" t="n">
        <x:v>0</x:v>
      </x:c>
      <x:c r="O85" s="30" t="n">
        <x:v>51</x:v>
      </x:c>
      <x:c r="P85" s="30" t="n">
        <x:v>0</x:v>
      </x:c>
      <x:c r="Q85" s="30" t="n">
        <x:v>0</x:v>
      </x:c>
      <x:c r="R85" s="30" t="n">
        <x:v>2</x:v>
      </x:c>
      <x:c r="S85" s="30" t="n">
        <x:v>2</x:v>
      </x:c>
      <x:c r="T85" s="30" t="n">
        <x:v>2</x:v>
      </x:c>
      <x:c r="U85" s="30" t="n">
        <x:v>1</x:v>
      </x:c>
      <x:c r="V85" s="30" t="str">
        <x:v>2430</x:v>
      </x:c>
    </x:row>
    <x:row r="86">
      <x:c r="A86" s="29" t="str">
        <x:v>10120400</x:v>
      </x:c>
      <x:c r="B86" s="30" t="str">
        <x:v>R-MOD_13 TURRIS</x:v>
      </x:c>
      <x:c r="C86" s="30" t="str">
        <x:v>Available</x:v>
      </x:c>
      <x:c r="D86" s="30" t="str">
        <x:v>HEAVY PLASMA RIFLE - R-MOD_13 TURRIS (Right)</x:v>
      </x:c>
      <x:c r="E86" s="30" t="n">
        <x:v>1</x:v>
      </x:c>
      <x:c r="F86" s="30" t="n">
        <x:v>9820</x:v>
      </x:c>
      <x:c r="G86" s="30" t="n">
        <x:v>805</x:v>
      </x:c>
      <x:c r="H86" s="30" t="n">
        <x:v>1</x:v>
      </x:c>
      <x:c r="I86" s="30" t="n">
        <x:v>1</x:v>
      </x:c>
      <x:c r="J86" s="30" t="n">
        <x:v>1</x:v>
      </x:c>
      <x:c r="K86" s="30" t="n">
        <x:v>1</x:v>
      </x:c>
      <x:c r="L86" s="30" t="n">
        <x:v>1</x:v>
      </x:c>
      <x:c r="M86" s="30" t="n">
        <x:v>1</x:v>
      </x:c>
      <x:c r="N86" s="30" t="n">
        <x:v>0</x:v>
      </x:c>
      <x:c r="O86" s="30" t="n">
        <x:v>109</x:v>
      </x:c>
      <x:c r="P86" s="30" t="n">
        <x:v>0</x:v>
      </x:c>
      <x:c r="Q86" s="30" t="n">
        <x:v>1</x:v>
      </x:c>
      <x:c r="R86" s="30" t="n">
        <x:v>1</x:v>
      </x:c>
      <x:c r="S86" s="30" t="n">
        <x:v>0</x:v>
      </x:c>
      <x:c r="T86" s="30" t="n">
        <x:v>0</x:v>
      </x:c>
      <x:c r="U86" s="30" t="n">
        <x:v>1</x:v>
      </x:c>
      <x:c r="V86" s="30" t="str">
        <x:v>9224</x:v>
      </x:c>
    </x:row>
    <x:row r="87">
      <x:c r="A87" s="29" t="str">
        <x:v>10132000</x:v>
      </x:c>
      <x:c r="B87" s="30" t="str">
        <x:v>HI-17: GU-S4</x:v>
      </x:c>
      <x:c r="C87" s="30" t="str">
        <x:v>Available</x:v>
      </x:c>
      <x:c r="D87" s="30" t="str">
        <x:v>PULSE SHOTGUN - HI-17: GU-S4 (Right)</x:v>
      </x:c>
      <x:c r="E87" s="30" t="n">
        <x:v>1</x:v>
      </x:c>
      <x:c r="F87" s="30" t="n">
        <x:v>2910</x:v>
      </x:c>
      <x:c r="G87" s="30" t="n">
        <x:v>471</x:v>
      </x:c>
      <x:c r="H87" s="30" t="n">
        <x:v>0</x:v>
      </x:c>
      <x:c r="I87" s="30" t="n">
        <x:v>0</x:v>
      </x:c>
      <x:c r="J87" s="30" t="n">
        <x:v>0</x:v>
      </x:c>
      <x:c r="K87" s="30" t="n">
        <x:v>0</x:v>
      </x:c>
      <x:c r="L87" s="30" t="n">
        <x:v>0</x:v>
      </x:c>
      <x:c r="M87" s="30" t="n">
        <x:v>0</x:v>
      </x:c>
      <x:c r="N87" s="30" t="n">
        <x:v>0</x:v>
      </x:c>
      <x:c r="O87" s="30" t="n">
        <x:v>70</x:v>
      </x:c>
      <x:c r="P87" s="30" t="n">
        <x:v>0</x:v>
      </x:c>
      <x:c r="Q87" s="30" t="n">
        <x:v>0</x:v>
      </x:c>
      <x:c r="R87" s="30" t="n">
        <x:v>0</x:v>
      </x:c>
      <x:c r="S87" s="30" t="n">
        <x:v>0</x:v>
      </x:c>
      <x:c r="T87" s="30" t="n">
        <x:v>0</x:v>
      </x:c>
      <x:c r="U87" s="30" t="n">
        <x:v>1</x:v>
      </x:c>
      <x:c r="V87" s="30" t="str">
        <x:v>2850</x:v>
      </x:c>
    </x:row>
    <x:row r="88">
      <x:c r="A88" s="29" t="str">
        <x:v>10150400</x:v>
      </x:c>
      <x:c r="B88" s="30" t="str">
        <x:v>Vvc-762CR</x:v>
      </x:c>
      <x:c r="C88" s="30" t="str">
        <x:v>Available</x:v>
      </x:c>
      <x:c r="D88" s="30" t="str">
        <x:v>CONCENTRATED PLASMA RIFLE - Vvc-780CR (Right)</x:v>
      </x:c>
      <x:c r="E88" s="30" t="n">
        <x:v>1</x:v>
      </x:c>
      <x:c r="F88" s="30" t="n">
        <x:v>5240</x:v>
      </x:c>
      <x:c r="G88" s="30" t="n">
        <x:v>640</x:v>
      </x:c>
      <x:c r="H88" s="30" t="n">
        <x:v>4</x:v>
      </x:c>
      <x:c r="I88" s="30" t="n">
        <x:v>0</x:v>
      </x:c>
      <x:c r="J88" s="30" t="n">
        <x:v>4</x:v>
      </x:c>
      <x:c r="K88" s="30" t="n">
        <x:v>4</x:v>
      </x:c>
      <x:c r="L88" s="30" t="n">
        <x:v>4</x:v>
      </x:c>
      <x:c r="M88" s="30" t="n">
        <x:v>4</x:v>
      </x:c>
      <x:c r="N88" s="30" t="n">
        <x:v>4</x:v>
      </x:c>
      <x:c r="O88" s="30" t="n">
        <x:v>45</x:v>
      </x:c>
      <x:c r="P88" s="30" t="n">
        <x:v>0</x:v>
      </x:c>
      <x:c r="Q88" s="30" t="n">
        <x:v>0</x:v>
      </x:c>
      <x:c r="R88" s="30" t="n">
        <x:v>1</x:v>
      </x:c>
      <x:c r="S88" s="30" t="n">
        <x:v>1</x:v>
      </x:c>
      <x:c r="T88" s="30" t="n">
        <x:v>1</x:v>
      </x:c>
      <x:c r="U88" s="30" t="n">
        <x:v>1</x:v>
      </x:c>
      <x:c r="V88" s="30" t="str">
        <x:v>2733</x:v>
      </x:c>
    </x:row>
    <x:row r="89">
      <x:c r="A89" s="29" t="str">
        <x:v>10150500</x:v>
      </x:c>
      <x:c r="B89" s="30" t="str">
        <x:v>R-MOD_9 SARISSA</x:v>
      </x:c>
      <x:c r="C89" s="30" t="str">
        <x:v>Available</x:v>
      </x:c>
      <x:c r="D89" s="30" t="str">
        <x:v>PLASMA RIFLE - R-MOD_9 SARISSA (Right)</x:v>
      </x:c>
      <x:c r="E89" s="30" t="n">
        <x:v>1</x:v>
      </x:c>
      <x:c r="F89" s="30" t="n">
        <x:v>4000</x:v>
      </x:c>
      <x:c r="G89" s="30" t="n">
        <x:v>704</x:v>
      </x:c>
      <x:c r="H89" s="30" t="n">
        <x:v>1</x:v>
      </x:c>
      <x:c r="I89" s="30" t="n">
        <x:v>1</x:v>
      </x:c>
      <x:c r="J89" s="30" t="n">
        <x:v>1</x:v>
      </x:c>
      <x:c r="K89" s="30" t="n">
        <x:v>1</x:v>
      </x:c>
      <x:c r="L89" s="30" t="n">
        <x:v>1</x:v>
      </x:c>
      <x:c r="M89" s="30" t="n">
        <x:v>1</x:v>
      </x:c>
      <x:c r="N89" s="30" t="n">
        <x:v>0</x:v>
      </x:c>
      <x:c r="O89" s="30" t="n">
        <x:v>63</x:v>
      </x:c>
      <x:c r="P89" s="30" t="n">
        <x:v>0</x:v>
      </x:c>
      <x:c r="Q89" s="30" t="n">
        <x:v>0</x:v>
      </x:c>
      <x:c r="R89" s="30" t="n">
        <x:v>1</x:v>
      </x:c>
      <x:c r="S89" s="30" t="n">
        <x:v>1</x:v>
      </x:c>
      <x:c r="T89" s="30" t="n">
        <x:v>1</x:v>
      </x:c>
      <x:c r="U89" s="30" t="n">
        <x:v>1</x:v>
      </x:c>
      <x:c r="V89" s="30" t="str">
        <x:v>2635</x:v>
      </x:c>
    </x:row>
    <x:row r="90">
      <x:c r="A90" s="29" t="str">
        <x:v>10161000</x:v>
      </x:c>
      <x:c r="B90" s="30" t="str">
        <x:v>WM-9876 MELTDOWN</x:v>
      </x:c>
      <x:c r="C90" s="30" t="str">
        <x:v>No matching stat row</x:v>
      </x:c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</x:row>
    <x:row r="91">
      <x:c r="A91" s="29" t="str">
        <x:v>15000300</x:v>
      </x:c>
      <x:c r="B91" s="30" t="str">
        <x:v>LR-038 FABRICIUS</x:v>
      </x:c>
      <x:c r="C91" s="30" t="str">
        <x:v>Available</x:v>
      </x:c>
      <x:c r="D91" s="30" t="str">
        <x:v>LINEAR RIFLE - LR-038 FABRICIUS (Left)</x:v>
      </x:c>
      <x:c r="E91" s="30" t="n">
        <x:v>1</x:v>
      </x:c>
      <x:c r="F91" s="30" t="n">
        <x:v>7425</x:v>
      </x:c>
      <x:c r="G91" s="30" t="n">
        <x:v>575</x:v>
      </x:c>
      <x:c r="H91" s="30" t="n">
        <x:v>0</x:v>
      </x:c>
      <x:c r="I91" s="30" t="n">
        <x:v>0</x:v>
      </x:c>
      <x:c r="J91" s="30" t="n">
        <x:v>0</x:v>
      </x:c>
      <x:c r="K91" s="30" t="n">
        <x:v>0</x:v>
      </x:c>
      <x:c r="L91" s="30" t="n">
        <x:v>0</x:v>
      </x:c>
      <x:c r="M91" s="30" t="n">
        <x:v>0</x:v>
      </x:c>
      <x:c r="N91" s="30" t="n">
        <x:v>0</x:v>
      </x:c>
      <x:c r="O91" s="30" t="n">
        <x:v>233</x:v>
      </x:c>
      <x:c r="P91" s="30" t="n">
        <x:v>4.2</x:v>
      </x:c>
      <x:c r="Q91" s="30" t="n">
        <x:v>0</x:v>
      </x:c>
      <x:c r="R91" s="30" t="n">
        <x:v>0</x:v>
      </x:c>
      <x:c r="S91" s="30" t="n">
        <x:v>0</x:v>
      </x:c>
      <x:c r="T91" s="30" t="n">
        <x:v>0</x:v>
      </x:c>
      <x:c r="U91" s="30" t="n">
        <x:v>1</x:v>
      </x:c>
      <x:c r="V91" s="30" t="str">
        <x:v>1636</x:v>
      </x:c>
    </x:row>
    <x:row r="92">
      <x:c r="A92" s="29" t="str">
        <x:v>15000400</x:v>
      </x:c>
      <x:c r="B92" s="30" t="str">
        <x:v>MX-12 NUMBER</x:v>
      </x:c>
      <x:c r="C92" s="30" t="str">
        <x:v>Available</x:v>
      </x:c>
      <x:c r="D92" s="30" t="str">
        <x:v>MACHINE GUN - MX-12 NUMBER (Left)</x:v>
      </x:c>
      <x:c r="E92" s="30" t="n">
        <x:v>1</x:v>
      </x:c>
      <x:c r="F92" s="30" t="n">
        <x:v>4010</x:v>
      </x:c>
      <x:c r="G92" s="30" t="n">
        <x:v>120</x:v>
      </x:c>
      <x:c r="H92" s="30" t="n">
        <x:v>0</x:v>
      </x:c>
      <x:c r="I92" s="30" t="n">
        <x:v>0</x:v>
      </x:c>
      <x:c r="J92" s="30" t="n">
        <x:v>0</x:v>
      </x:c>
      <x:c r="K92" s="30" t="n">
        <x:v>0</x:v>
      </x:c>
      <x:c r="L92" s="30" t="n">
        <x:v>0</x:v>
      </x:c>
      <x:c r="M92" s="30" t="n">
        <x:v>0</x:v>
      </x:c>
      <x:c r="N92" s="30" t="n">
        <x:v>0</x:v>
      </x:c>
      <x:c r="O92" s="30" t="n">
        <x:v>420</x:v>
      </x:c>
      <x:c r="P92" s="30" t="n">
        <x:v>0</x:v>
      </x:c>
      <x:c r="Q92" s="30" t="n">
        <x:v>0</x:v>
      </x:c>
      <x:c r="R92" s="30" t="n">
        <x:v>0</x:v>
      </x:c>
      <x:c r="S92" s="30" t="n">
        <x:v>0</x:v>
      </x:c>
      <x:c r="T92" s="30" t="n">
        <x:v>0</x:v>
      </x:c>
      <x:c r="U92" s="30" t="n">
        <x:v>1</x:v>
      </x:c>
      <x:c r="V92" s="30" t="str">
        <x:v>1821</x:v>
      </x:c>
    </x:row>
    <x:row r="93">
      <x:c r="A93" s="29" t="str">
        <x:v>15000500</x:v>
      </x:c>
      <x:c r="B93" s="30" t="str">
        <x:v>CRAZ-E-R-16-LE "SIMPLEPUNK"</x:v>
      </x:c>
      <x:c r="C93" s="30" t="str">
        <x:v>Available</x:v>
      </x:c>
      <x:c r="D93" s="30" t="str">
        <x:v>INCENDIARY RIFLE - CRAZ-E-B-09-SL SIMPLEPUNK (Left)</x:v>
      </x:c>
      <x:c r="E93" s="30" t="n">
        <x:v>1</x:v>
      </x:c>
      <x:c r="F93" s="30" t="n">
        <x:v>3990</x:v>
      </x:c>
      <x:c r="G93" s="30" t="n">
        <x:v>119</x:v>
      </x:c>
      <x:c r="H93" s="30" t="n">
        <x:v>0</x:v>
      </x:c>
      <x:c r="I93" s="30" t="n">
        <x:v>0</x:v>
      </x:c>
      <x:c r="J93" s="30" t="n">
        <x:v>0</x:v>
      </x:c>
      <x:c r="K93" s="30" t="n">
        <x:v>0</x:v>
      </x:c>
      <x:c r="L93" s="30" t="n">
        <x:v>0</x:v>
      </x:c>
      <x:c r="M93" s="30" t="n">
        <x:v>0</x:v>
      </x:c>
      <x:c r="N93" s="30" t="n">
        <x:v>0</x:v>
      </x:c>
      <x:c r="O93" s="30" t="n">
        <x:v>324</x:v>
      </x:c>
      <x:c r="P93" s="30" t="n">
        <x:v>2.15</x:v>
      </x:c>
      <x:c r="Q93" s="30" t="n">
        <x:v>0</x:v>
      </x:c>
      <x:c r="R93" s="30" t="n">
        <x:v>0</x:v>
      </x:c>
      <x:c r="S93" s="30" t="n">
        <x:v>0</x:v>
      </x:c>
      <x:c r="T93" s="30" t="n">
        <x:v>0</x:v>
      </x:c>
      <x:c r="U93" s="30" t="n">
        <x:v>1</x:v>
      </x:c>
      <x:c r="V93" s="30" t="str">
        <x:v>1616</x:v>
      </x:c>
    </x:row>
    <x:row r="94">
      <x:c r="A94" s="29" t="str">
        <x:v>15010300</x:v>
      </x:c>
      <x:c r="B94" s="30" t="str">
        <x:v>IA-C01A1: LUNAR</x:v>
      </x:c>
      <x:c r="C94" s="30" t="str">
        <x:v>Available</x:v>
      </x:c>
      <x:c r="D94" s="30" t="str">
        <x:v>LIGHT WAVE RIFLE - IA-C01A1: LUNAR (Left)</x:v>
      </x:c>
      <x:c r="E94" s="30" t="n">
        <x:v>1</x:v>
      </x:c>
      <x:c r="F94" s="30" t="n">
        <x:v>3620</x:v>
      </x:c>
      <x:c r="G94" s="30" t="n">
        <x:v>502</x:v>
      </x:c>
      <x:c r="H94" s="30" t="n">
        <x:v>0</x:v>
      </x:c>
      <x:c r="I94" s="30" t="n">
        <x:v>0</x:v>
      </x:c>
      <x:c r="J94" s="30" t="n">
        <x:v>0</x:v>
      </x:c>
      <x:c r="K94" s="30" t="n">
        <x:v>0</x:v>
      </x:c>
      <x:c r="L94" s="30" t="n">
        <x:v>0</x:v>
      </x:c>
      <x:c r="M94" s="30" t="n">
        <x:v>0</x:v>
      </x:c>
      <x:c r="N94" s="30" t="n">
        <x:v>0</x:v>
      </x:c>
      <x:c r="O94" s="30" t="n">
        <x:v>360</x:v>
      </x:c>
      <x:c r="P94" s="30" t="n">
        <x:v>2.4</x:v>
      </x:c>
      <x:c r="Q94" s="30" t="n">
        <x:v>0</x:v>
      </x:c>
      <x:c r="R94" s="30" t="n">
        <x:v>0</x:v>
      </x:c>
      <x:c r="S94" s="30" t="n">
        <x:v>0</x:v>
      </x:c>
      <x:c r="T94" s="30" t="n">
        <x:v>0</x:v>
      </x:c>
      <x:c r="U94" s="30" t="n">
        <x:v>1</x:v>
      </x:c>
      <x:c r="V94" s="30" t="str">
        <x:v>2840</x:v>
      </x:c>
    </x:row>
    <x:row r="95">
      <x:c r="A95" s="29" t="str">
        <x:v>15010400</x:v>
      </x:c>
      <x:c r="B95" s="30" t="str">
        <x:v>LSN-039 ADRIAN</x:v>
      </x:c>
      <x:c r="C95" s="30" t="str">
        <x:v>Available</x:v>
      </x:c>
      <x:c r="D95" s="30" t="str">
        <x:v>LINEAR SNIPER RIFLE - LSN-039 ADRIAN (Left)</x:v>
      </x:c>
      <x:c r="E95" s="30" t="n">
        <x:v>1</x:v>
      </x:c>
      <x:c r="F95" s="30" t="n">
        <x:v>4910</x:v>
      </x:c>
      <x:c r="G95" s="30" t="n">
        <x:v>102</x:v>
      </x:c>
      <x:c r="H95" s="30" t="n">
        <x:v>0</x:v>
      </x:c>
      <x:c r="I95" s="30" t="n">
        <x:v>0</x:v>
      </x:c>
      <x:c r="J95" s="30" t="n">
        <x:v>0</x:v>
      </x:c>
      <x:c r="K95" s="30" t="n">
        <x:v>0</x:v>
      </x:c>
      <x:c r="L95" s="30" t="n">
        <x:v>0</x:v>
      </x:c>
      <x:c r="M95" s="30" t="n">
        <x:v>0</x:v>
      </x:c>
      <x:c r="N95" s="30" t="n">
        <x:v>0</x:v>
      </x:c>
      <x:c r="O95" s="30" t="n">
        <x:v>64</x:v>
      </x:c>
      <x:c r="P95" s="30" t="n">
        <x:v>2.6</x:v>
      </x:c>
      <x:c r="Q95" s="30" t="n">
        <x:v>0</x:v>
      </x:c>
      <x:c r="R95" s="30" t="n">
        <x:v>0</x:v>
      </x:c>
      <x:c r="S95" s="30" t="n">
        <x:v>0</x:v>
      </x:c>
      <x:c r="T95" s="30" t="n">
        <x:v>0</x:v>
      </x:c>
      <x:c r="U95" s="30" t="n">
        <x:v>1</x:v>
      </x:c>
      <x:c r="V95" s="30" t="str">
        <x:v>1690</x:v>
      </x:c>
    </x:row>
    <x:row r="96">
      <x:c r="A96" s="29" t="str">
        <x:v>15010500</x:v>
      </x:c>
      <x:c r="B96" s="30" t="str">
        <x:v>AX-24 GENESIS</x:v>
      </x:c>
      <x:c r="C96" s="30" t="str">
        <x:v>Available</x:v>
      </x:c>
      <x:c r="D96" s="30" t="str">
        <x:v>DOUBLE ASSAULT RIFLE - AX-24 GENESIS (Left)</x:v>
      </x:c>
      <x:c r="E96" s="30" t="n">
        <x:v>1</x:v>
      </x:c>
      <x:c r="F96" s="30" t="n">
        <x:v>5110</x:v>
      </x:c>
      <x:c r="G96" s="30" t="n">
        <x:v>277</x:v>
      </x:c>
      <x:c r="H96" s="30" t="n">
        <x:v>0</x:v>
      </x:c>
      <x:c r="I96" s="30" t="n">
        <x:v>0</x:v>
      </x:c>
      <x:c r="J96" s="30" t="n">
        <x:v>0</x:v>
      </x:c>
      <x:c r="K96" s="30" t="n">
        <x:v>0</x:v>
      </x:c>
      <x:c r="L96" s="30" t="n">
        <x:v>0</x:v>
      </x:c>
      <x:c r="M96" s="30" t="n">
        <x:v>0</x:v>
      </x:c>
      <x:c r="N96" s="30" t="n">
        <x:v>0</x:v>
      </x:c>
      <x:c r="O96" s="30" t="n">
        <x:v>510</x:v>
      </x:c>
      <x:c r="P96" s="30" t="n">
        <x:v>3.5</x:v>
      </x:c>
      <x:c r="Q96" s="30" t="n">
        <x:v>0</x:v>
      </x:c>
      <x:c r="R96" s="30" t="n">
        <x:v>0</x:v>
      </x:c>
      <x:c r="S96" s="30" t="n">
        <x:v>0</x:v>
      </x:c>
      <x:c r="T96" s="30" t="n">
        <x:v>0</x:v>
      </x:c>
      <x:c r="U96" s="30" t="n">
        <x:v>1</x:v>
      </x:c>
      <x:c r="V96" s="30" t="str">
        <x:v>1740</x:v>
      </x:c>
    </x:row>
    <x:row r="97">
      <x:c r="A97" s="29" t="str">
        <x:v>15010600</x:v>
      </x:c>
      <x:c r="B97" s="30" t="str">
        <x:v>HI-11: GU-RR/F</x:v>
      </x:c>
      <x:c r="C97" s="30" t="str">
        <x:v>Available</x:v>
      </x:c>
      <x:c r="D97" s="30" t="str">
        <x:v>HYPERPULSE RIFLE - HI-11: GU-RR/F (Left)</x:v>
      </x:c>
      <x:c r="E97" s="30" t="n">
        <x:v>1</x:v>
      </x:c>
      <x:c r="F97" s="30" t="n">
        <x:v>2910</x:v>
      </x:c>
      <x:c r="G97" s="30" t="n">
        <x:v>468</x:v>
      </x:c>
      <x:c r="H97" s="30" t="n">
        <x:v>0</x:v>
      </x:c>
      <x:c r="I97" s="30" t="n">
        <x:v>0</x:v>
      </x:c>
      <x:c r="J97" s="30" t="n">
        <x:v>0</x:v>
      </x:c>
      <x:c r="K97" s="30" t="n">
        <x:v>0</x:v>
      </x:c>
      <x:c r="L97" s="30" t="n">
        <x:v>0</x:v>
      </x:c>
      <x:c r="M97" s="30" t="n">
        <x:v>0</x:v>
      </x:c>
      <x:c r="N97" s="30" t="n">
        <x:v>0</x:v>
      </x:c>
      <x:c r="O97" s="30" t="n">
        <x:v>200</x:v>
      </x:c>
      <x:c r="P97" s="30" t="n">
        <x:v>0</x:v>
      </x:c>
      <x:c r="Q97" s="30" t="n">
        <x:v>0</x:v>
      </x:c>
      <x:c r="R97" s="30" t="n">
        <x:v>0</x:v>
      </x:c>
      <x:c r="S97" s="30" t="n">
        <x:v>0</x:v>
      </x:c>
      <x:c r="T97" s="30" t="n">
        <x:v>0</x:v>
      </x:c>
      <x:c r="U97" s="30" t="n">
        <x:v>1</x:v>
      </x:c>
      <x:c r="V97" s="30" t="str">
        <x:v>1001</x:v>
      </x:c>
    </x:row>
    <x:row r="98">
      <x:c r="A98" s="29" t="str">
        <x:v>15020400</x:v>
      </x:c>
      <x:c r="B98" s="30" t="str">
        <x:v>VP-66LM</x:v>
      </x:c>
      <x:c r="C98" s="30" t="str">
        <x:v>Available</x:v>
      </x:c>
      <x:c r="D98" s="30" t="str">
        <x:v>LASER MACHINE GUN - VP-66LM (Left)</x:v>
      </x:c>
      <x:c r="E98" s="30" t="n">
        <x:v>1</x:v>
      </x:c>
      <x:c r="F98" s="30" t="n">
        <x:v>2090</x:v>
      </x:c>
      <x:c r="G98" s="30" t="n">
        <x:v>515</x:v>
      </x:c>
      <x:c r="H98" s="30" t="n">
        <x:v>0</x:v>
      </x:c>
      <x:c r="I98" s="30" t="n">
        <x:v>0</x:v>
      </x:c>
      <x:c r="J98" s="30" t="n">
        <x:v>0</x:v>
      </x:c>
      <x:c r="K98" s="30" t="n">
        <x:v>0</x:v>
      </x:c>
      <x:c r="L98" s="30" t="n">
        <x:v>0</x:v>
      </x:c>
      <x:c r="M98" s="30" t="n">
        <x:v>0</x:v>
      </x:c>
      <x:c r="N98" s="30" t="n">
        <x:v>0</x:v>
      </x:c>
      <x:c r="O98" s="30" t="n">
        <x:v>1100</x:v>
      </x:c>
      <x:c r="P98" s="30" t="n">
        <x:v>0</x:v>
      </x:c>
      <x:c r="Q98" s="30" t="n">
        <x:v>0</x:v>
      </x:c>
      <x:c r="R98" s="30" t="n">
        <x:v>0</x:v>
      </x:c>
      <x:c r="S98" s="30" t="n">
        <x:v>0</x:v>
      </x:c>
      <x:c r="T98" s="30" t="n">
        <x:v>0</x:v>
      </x:c>
      <x:c r="U98" s="30" t="n">
        <x:v>1</x:v>
      </x:c>
      <x:c r="V98" s="30" t="str">
        <x:v>1850</x:v>
      </x:c>
    </x:row>
    <x:row r="99">
      <x:c r="A99" s="29" t="str">
        <x:v>15020500</x:v>
      </x:c>
      <x:c r="B99" s="30" t="str">
        <x:v>WM-5678 TYPEWRITER</x:v>
      </x:c>
      <x:c r="C99" s="30" t="str">
        <x:v>Available</x:v>
      </x:c>
      <x:c r="D99" s="30" t="str">
        <x:v>HEAVY MACHINE GUN - MG-016 THOMSON (Left)</x:v>
      </x:c>
      <x:c r="E99" s="30" t="n">
        <x:v>1</x:v>
      </x:c>
      <x:c r="F99" s="30" t="n">
        <x:v>6450</x:v>
      </x:c>
      <x:c r="G99" s="30" t="n">
        <x:v>214</x:v>
      </x:c>
      <x:c r="H99" s="30" t="n">
        <x:v>0</x:v>
      </x:c>
      <x:c r="I99" s="30" t="n">
        <x:v>0</x:v>
      </x:c>
      <x:c r="J99" s="30" t="n">
        <x:v>0</x:v>
      </x:c>
      <x:c r="K99" s="30" t="n">
        <x:v>0</x:v>
      </x:c>
      <x:c r="L99" s="30" t="n">
        <x:v>0</x:v>
      </x:c>
      <x:c r="M99" s="30" t="n">
        <x:v>0</x:v>
      </x:c>
      <x:c r="N99" s="30" t="n">
        <x:v>0</x:v>
      </x:c>
      <x:c r="O99" s="30" t="n">
        <x:v>750</x:v>
      </x:c>
      <x:c r="P99" s="30" t="n">
        <x:v>4.2</x:v>
      </x:c>
      <x:c r="Q99" s="30" t="n">
        <x:v>0</x:v>
      </x:c>
      <x:c r="R99" s="30" t="n">
        <x:v>0</x:v>
      </x:c>
      <x:c r="S99" s="30" t="n">
        <x:v>0</x:v>
      </x:c>
      <x:c r="T99" s="30" t="n">
        <x:v>0</x:v>
      </x:c>
      <x:c r="U99" s="30" t="n">
        <x:v>1</x:v>
      </x:c>
      <x:c r="V99" s="30" t="str">
        <x:v>1845</x:v>
      </x:c>
    </x:row>
    <x:row r="100">
      <x:c r="A100" s="29" t="str">
        <x:v>15020600</x:v>
      </x:c>
      <x:c r="B100" s="30" t="str">
        <x:v>WD-6767 MACKIE</x:v>
      </x:c>
      <x:c r="C100" s="30" t="str">
        <x:v>Available</x:v>
      </x:c>
      <x:c r="D100" s="30" t="str">
        <x:v>MACHINE HANDGUN - WD-6767 MACKIE (Left)</x:v>
      </x:c>
      <x:c r="E100" s="30" t="n">
        <x:v>1</x:v>
      </x:c>
      <x:c r="F100" s="30" t="n">
        <x:v>1650</x:v>
      </x:c>
      <x:c r="G100" s="30" t="n">
        <x:v>104</x:v>
      </x:c>
      <x:c r="H100" s="30" t="n">
        <x:v>0</x:v>
      </x:c>
      <x:c r="I100" s="30" t="n">
        <x:v>0</x:v>
      </x:c>
      <x:c r="J100" s="30" t="n">
        <x:v>0</x:v>
      </x:c>
      <x:c r="K100" s="30" t="n">
        <x:v>0</x:v>
      </x:c>
      <x:c r="L100" s="30" t="n">
        <x:v>0</x:v>
      </x:c>
      <x:c r="M100" s="30" t="n">
        <x:v>0</x:v>
      </x:c>
      <x:c r="N100" s="30" t="n">
        <x:v>0</x:v>
      </x:c>
      <x:c r="O100" s="30" t="n">
        <x:v>420</x:v>
      </x:c>
      <x:c r="P100" s="30" t="n">
        <x:v>1.2</x:v>
      </x:c>
      <x:c r="Q100" s="30" t="n">
        <x:v>0</x:v>
      </x:c>
      <x:c r="R100" s="30" t="n">
        <x:v>0</x:v>
      </x:c>
      <x:c r="S100" s="30" t="n">
        <x:v>0</x:v>
      </x:c>
      <x:c r="T100" s="30" t="n">
        <x:v>0</x:v>
      </x:c>
      <x:c r="U100" s="30" t="n">
        <x:v>1</x:v>
      </x:c>
      <x:c r="V100" s="30" t="str">
        <x:v>1810</x:v>
      </x:c>
    </x:row>
    <x:row r="101">
      <x:c r="A101" s="29" t="str">
        <x:v>15030100</x:v>
      </x:c>
      <x:c r="B101" s="30" t="str">
        <x:v>DF-SC-01 HAI-DAN</x:v>
      </x:c>
      <x:c r="C101" s="30" t="str">
        <x:v>Available</x:v>
      </x:c>
      <x:c r="D101" s="30" t="str">
        <x:v>SIMPLE GATLING GUN - DF-SC-01 HAI-DAN (Left)</x:v>
      </x:c>
      <x:c r="E101" s="30" t="n">
        <x:v>1</x:v>
      </x:c>
      <x:c r="F101" s="30" t="n">
        <x:v>4800</x:v>
      </x:c>
      <x:c r="G101" s="30" t="n">
        <x:v>393</x:v>
      </x:c>
      <x:c r="H101" s="30" t="n">
        <x:v>0</x:v>
      </x:c>
      <x:c r="I101" s="30" t="n">
        <x:v>0</x:v>
      </x:c>
      <x:c r="J101" s="30" t="n">
        <x:v>0</x:v>
      </x:c>
      <x:c r="K101" s="30" t="n">
        <x:v>0</x:v>
      </x:c>
      <x:c r="L101" s="30" t="n">
        <x:v>0</x:v>
      </x:c>
      <x:c r="M101" s="30" t="n">
        <x:v>0</x:v>
      </x:c>
      <x:c r="N101" s="30" t="n">
        <x:v>0</x:v>
      </x:c>
      <x:c r="O101" s="30" t="n">
        <x:v>980</x:v>
      </x:c>
      <x:c r="P101" s="30" t="n">
        <x:v>0</x:v>
      </x:c>
      <x:c r="Q101" s="30" t="n">
        <x:v>0</x:v>
      </x:c>
      <x:c r="R101" s="30" t="n">
        <x:v>0</x:v>
      </x:c>
      <x:c r="S101" s="30" t="n">
        <x:v>0</x:v>
      </x:c>
      <x:c r="T101" s="30" t="n">
        <x:v>0</x:v>
      </x:c>
      <x:c r="U101" s="30" t="n">
        <x:v>1</x:v>
      </x:c>
      <x:c r="V101" s="30" t="str">
        <x:v>1911</x:v>
      </x:c>
    </x:row>
    <x:row r="102">
      <x:c r="A102" s="29" t="str">
        <x:v>15030300</x:v>
      </x:c>
      <x:c r="B102" s="30" t="str">
        <x:v>GX-68 LAMENTATION</x:v>
      </x:c>
      <x:c r="C102" s="30" t="str">
        <x:v>Available</x:v>
      </x:c>
      <x:c r="D102" s="30" t="str">
        <x:v>DIFFUSION GATLING GUN - GX-68 LAMENTATION (Left)</x:v>
      </x:c>
      <x:c r="E102" s="30" t="n">
        <x:v>1</x:v>
      </x:c>
      <x:c r="F102" s="30" t="n">
        <x:v>7340</x:v>
      </x:c>
      <x:c r="G102" s="30" t="n">
        <x:v>602</x:v>
      </x:c>
      <x:c r="H102" s="30" t="n">
        <x:v>0</x:v>
      </x:c>
      <x:c r="I102" s="30" t="n">
        <x:v>0</x:v>
      </x:c>
      <x:c r="J102" s="30" t="n">
        <x:v>0</x:v>
      </x:c>
      <x:c r="K102" s="30" t="n">
        <x:v>0</x:v>
      </x:c>
      <x:c r="L102" s="30" t="n">
        <x:v>0</x:v>
      </x:c>
      <x:c r="M102" s="30" t="n">
        <x:v>0</x:v>
      </x:c>
      <x:c r="N102" s="30" t="n">
        <x:v>0</x:v>
      </x:c>
      <x:c r="O102" s="30" t="n">
        <x:v>3960</x:v>
      </x:c>
      <x:c r="P102" s="30" t="n">
        <x:v>0</x:v>
      </x:c>
      <x:c r="Q102" s="30" t="n">
        <x:v>0</x:v>
      </x:c>
      <x:c r="R102" s="30" t="n">
        <x:v>0</x:v>
      </x:c>
      <x:c r="S102" s="30" t="n">
        <x:v>0</x:v>
      </x:c>
      <x:c r="T102" s="30" t="n">
        <x:v>0</x:v>
      </x:c>
      <x:c r="U102" s="30" t="n">
        <x:v>1</x:v>
      </x:c>
      <x:c r="V102" s="30" t="str">
        <x:v>1915</x:v>
      </x:c>
    </x:row>
    <x:row r="103">
      <x:c r="A103" s="29" t="str">
        <x:v>15031000</x:v>
      </x:c>
      <x:c r="B103" s="30" t="str">
        <x:v>MA-G-102 MADO</x:v>
      </x:c>
      <x:c r="C103" s="30" t="str">
        <x:v>Available</x:v>
      </x:c>
      <x:c r="D103" s="30" t="str">
        <x:v>BURST GATLING GUN - MA-G-102 MADO (Left)</x:v>
      </x:c>
      <x:c r="E103" s="30" t="n">
        <x:v>1</x:v>
      </x:c>
      <x:c r="F103" s="30" t="n">
        <x:v>5500</x:v>
      </x:c>
      <x:c r="G103" s="30" t="n">
        <x:v>444</x:v>
      </x:c>
      <x:c r="H103" s="30" t="n">
        <x:v>0</x:v>
      </x:c>
      <x:c r="I103" s="30" t="n">
        <x:v>0</x:v>
      </x:c>
      <x:c r="J103" s="30" t="n">
        <x:v>0</x:v>
      </x:c>
      <x:c r="K103" s="30" t="n">
        <x:v>0</x:v>
      </x:c>
      <x:c r="L103" s="30" t="n">
        <x:v>0</x:v>
      </x:c>
      <x:c r="M103" s="30" t="n">
        <x:v>0</x:v>
      </x:c>
      <x:c r="N103" s="30" t="n">
        <x:v>0</x:v>
      </x:c>
      <x:c r="O103" s="30" t="n">
        <x:v>1250</x:v>
      </x:c>
      <x:c r="P103" s="30" t="n">
        <x:v>0</x:v>
      </x:c>
      <x:c r="Q103" s="30" t="n">
        <x:v>0</x:v>
      </x:c>
      <x:c r="R103" s="30" t="n">
        <x:v>0</x:v>
      </x:c>
      <x:c r="S103" s="30" t="n">
        <x:v>0</x:v>
      </x:c>
      <x:c r="T103" s="30" t="n">
        <x:v>0</x:v>
      </x:c>
      <x:c r="U103" s="30" t="n">
        <x:v>1</x:v>
      </x:c>
      <x:c r="V103" s="30" t="str">
        <x:v>1930</x:v>
      </x:c>
    </x:row>
    <x:row r="104">
      <x:c r="A104" s="29" t="str">
        <x:v>15032000</x:v>
      </x:c>
      <x:c r="B104" s="30" t="str">
        <x:v>GX-61 REVELATION</x:v>
      </x:c>
      <x:c r="C104" s="30" t="str">
        <x:v>Available</x:v>
      </x:c>
      <x:c r="D104" s="30" t="str">
        <x:v>STANCE GUN - GX-61 REVELATION (Left)</x:v>
      </x:c>
      <x:c r="E104" s="30" t="n">
        <x:v>1</x:v>
      </x:c>
      <x:c r="F104" s="30" t="n">
        <x:v>10120</x:v>
      </x:c>
      <x:c r="G104" s="30" t="n">
        <x:v>555</x:v>
      </x:c>
      <x:c r="H104" s="30" t="n">
        <x:v>0</x:v>
      </x:c>
      <x:c r="I104" s="30" t="n">
        <x:v>0</x:v>
      </x:c>
      <x:c r="J104" s="30" t="n">
        <x:v>0</x:v>
      </x:c>
      <x:c r="K104" s="30" t="n">
        <x:v>0</x:v>
      </x:c>
      <x:c r="L104" s="30" t="n">
        <x:v>0</x:v>
      </x:c>
      <x:c r="M104" s="30" t="n">
        <x:v>0</x:v>
      </x:c>
      <x:c r="N104" s="30" t="n">
        <x:v>0</x:v>
      </x:c>
      <x:c r="O104" s="30" t="n">
        <x:v>1300</x:v>
      </x:c>
      <x:c r="P104" s="30" t="n">
        <x:v>0</x:v>
      </x:c>
      <x:c r="Q104" s="30" t="n">
        <x:v>0</x:v>
      </x:c>
      <x:c r="R104" s="30" t="n">
        <x:v>0</x:v>
      </x:c>
      <x:c r="S104" s="30" t="n">
        <x:v>0</x:v>
      </x:c>
      <x:c r="T104" s="30" t="n">
        <x:v>0</x:v>
      </x:c>
      <x:c r="U104" s="30" t="n">
        <x:v>1</x:v>
      </x:c>
      <x:c r="V104" s="30" t="str">
        <x:v>1990</x:v>
      </x:c>
    </x:row>
    <x:row r="105">
      <x:c r="A105" s="29" t="str">
        <x:v>15040300</x:v>
      </x:c>
      <x:c r="B105" s="30" t="str">
        <x:v>CRAZ-L-O-32-OP "BUNKAPUNK"</x:v>
      </x:c>
      <x:c r="C105" s="30" t="str">
        <x:v>Available</x:v>
      </x:c>
      <x:c r="D105" s="30" t="str">
        <x:v>PILE LAUNCHER - PB-034 ALLARD (Left)</x:v>
      </x:c>
      <x:c r="E105" s="30" t="n">
        <x:v>1</x:v>
      </x:c>
      <x:c r="F105" s="30" t="n">
        <x:v>4510</x:v>
      </x:c>
      <x:c r="G105" s="30" t="n">
        <x:v>262</x:v>
      </x:c>
      <x:c r="H105" s="30" t="n">
        <x:v>0</x:v>
      </x:c>
      <x:c r="I105" s="30" t="n">
        <x:v>0</x:v>
      </x:c>
      <x:c r="J105" s="30" t="n">
        <x:v>0</x:v>
      </x:c>
      <x:c r="K105" s="30" t="n">
        <x:v>0</x:v>
      </x:c>
      <x:c r="L105" s="30" t="n">
        <x:v>0</x:v>
      </x:c>
      <x:c r="M105" s="30" t="n">
        <x:v>0</x:v>
      </x:c>
      <x:c r="N105" s="30" t="n">
        <x:v>0</x:v>
      </x:c>
      <x:c r="O105" s="30" t="n">
        <x:v>49</x:v>
      </x:c>
      <x:c r="P105" s="30" t="n">
        <x:v>3.8</x:v>
      </x:c>
      <x:c r="Q105" s="30" t="n">
        <x:v>0</x:v>
      </x:c>
      <x:c r="R105" s="30" t="n">
        <x:v>0</x:v>
      </x:c>
      <x:c r="S105" s="30" t="n">
        <x:v>0</x:v>
      </x:c>
      <x:c r="T105" s="30" t="n">
        <x:v>0</x:v>
      </x:c>
      <x:c r="U105" s="30" t="n">
        <x:v>1</x:v>
      </x:c>
      <x:c r="V105" s="30" t="str">
        <x:v>1841</x:v>
      </x:c>
    </x:row>
    <x:row r="106">
      <x:c r="A106" s="29" t="str">
        <x:v>15040400</x:v>
      </x:c>
      <x:c r="B106" s="30" t="str">
        <x:v>VP-66LRH</x:v>
      </x:c>
      <x:c r="C106" s="30" t="str">
        <x:v>Available</x:v>
      </x:c>
      <x:c r="D106" s="30" t="str">
        <x:v>HEAVY LASER RIFLE - VP-66LRH (Left)</x:v>
      </x:c>
      <x:c r="E106" s="30" t="n">
        <x:v>1</x:v>
      </x:c>
      <x:c r="F106" s="30" t="n">
        <x:v>5000</x:v>
      </x:c>
      <x:c r="G106" s="30" t="n">
        <x:v>566</x:v>
      </x:c>
      <x:c r="H106" s="30" t="n">
        <x:v>4</x:v>
      </x:c>
      <x:c r="I106" s="30" t="n">
        <x:v>4</x:v>
      </x:c>
      <x:c r="J106" s="30" t="n">
        <x:v>4</x:v>
      </x:c>
      <x:c r="K106" s="30" t="n">
        <x:v>4</x:v>
      </x:c>
      <x:c r="L106" s="30" t="n">
        <x:v>4</x:v>
      </x:c>
      <x:c r="M106" s="30" t="n">
        <x:v>4</x:v>
      </x:c>
      <x:c r="N106" s="30" t="n">
        <x:v>0</x:v>
      </x:c>
      <x:c r="O106" s="30" t="n">
        <x:v>81</x:v>
      </x:c>
      <x:c r="P106" s="30" t="n">
        <x:v>0</x:v>
      </x:c>
      <x:c r="Q106" s="30" t="n">
        <x:v>0</x:v>
      </x:c>
      <x:c r="R106" s="30" t="n">
        <x:v>0</x:v>
      </x:c>
      <x:c r="S106" s="30" t="n">
        <x:v>0</x:v>
      </x:c>
      <x:c r="T106" s="30" t="n">
        <x:v>0</x:v>
      </x:c>
      <x:c r="U106" s="30" t="n">
        <x:v>1</x:v>
      </x:c>
      <x:c r="V106" s="30" t="str">
        <x:v>2623</x:v>
      </x:c>
    </x:row>
    <x:row r="107">
      <x:c r="A107" s="29" t="str">
        <x:v>15050300</x:v>
      </x:c>
      <x:c r="B107" s="30" t="str">
        <x:v>MA-G-103 TAMURA</x:v>
      </x:c>
      <x:c r="C107" s="30" t="str">
        <x:v>Available</x:v>
      </x:c>
      <x:c r="D107" s="30" t="str">
        <x:v>BURST SHOTGUN - MA-G-103 TAMURA (Left)</x:v>
      </x:c>
      <x:c r="E107" s="30" t="n">
        <x:v>1</x:v>
      </x:c>
      <x:c r="F107" s="30" t="n">
        <x:v>4110</x:v>
      </x:c>
      <x:c r="G107" s="30" t="n">
        <x:v>202</x:v>
      </x:c>
      <x:c r="H107" s="30" t="n">
        <x:v>0</x:v>
      </x:c>
      <x:c r="I107" s="30" t="n">
        <x:v>0</x:v>
      </x:c>
      <x:c r="J107" s="30" t="n">
        <x:v>0</x:v>
      </x:c>
      <x:c r="K107" s="30" t="n">
        <x:v>0</x:v>
      </x:c>
      <x:c r="L107" s="30" t="n">
        <x:v>0</x:v>
      </x:c>
      <x:c r="M107" s="30" t="n">
        <x:v>0</x:v>
      </x:c>
      <x:c r="N107" s="30" t="n">
        <x:v>0</x:v>
      </x:c>
      <x:c r="O107" s="30" t="n">
        <x:v>60</x:v>
      </x:c>
      <x:c r="P107" s="30" t="n">
        <x:v>4.3</x:v>
      </x:c>
      <x:c r="Q107" s="30" t="n">
        <x:v>0</x:v>
      </x:c>
      <x:c r="R107" s="30" t="n">
        <x:v>0</x:v>
      </x:c>
      <x:c r="S107" s="30" t="n">
        <x:v>0</x:v>
      </x:c>
      <x:c r="T107" s="30" t="n">
        <x:v>0</x:v>
      </x:c>
      <x:c r="U107" s="30" t="n">
        <x:v>1</x:v>
      </x:c>
      <x:c r="V107" s="30" t="str">
        <x:v>1540</x:v>
      </x:c>
    </x:row>
    <x:row r="108">
      <x:c r="A108" s="29" t="str">
        <x:v>15050400</x:v>
      </x:c>
      <x:c r="B108" s="30" t="str">
        <x:v>SG-028 SPIELMAN</x:v>
      </x:c>
      <x:c r="C108" s="30" t="str">
        <x:v>Available</x:v>
      </x:c>
      <x:c r="D108" s="30" t="str">
        <x:v>SHOTGUN - SG-028 SPIELMAN (Left)</x:v>
      </x:c>
      <x:c r="E108" s="30" t="n">
        <x:v>1</x:v>
      </x:c>
      <x:c r="F108" s="30" t="n">
        <x:v>5120</x:v>
      </x:c>
      <x:c r="G108" s="30" t="n">
        <x:v>367</x:v>
      </x:c>
      <x:c r="H108" s="30" t="n">
        <x:v>0</x:v>
      </x:c>
      <x:c r="I108" s="30" t="n">
        <x:v>0</x:v>
      </x:c>
      <x:c r="J108" s="30" t="n">
        <x:v>0</x:v>
      </x:c>
      <x:c r="K108" s="30" t="n">
        <x:v>0</x:v>
      </x:c>
      <x:c r="L108" s="30" t="n">
        <x:v>0</x:v>
      </x:c>
      <x:c r="M108" s="30" t="n">
        <x:v>0</x:v>
      </x:c>
      <x:c r="N108" s="30" t="n">
        <x:v>0</x:v>
      </x:c>
      <x:c r="O108" s="30" t="n">
        <x:v>43</x:v>
      </x:c>
      <x:c r="P108" s="30" t="n">
        <x:v>2.8</x:v>
      </x:c>
      <x:c r="Q108" s="30" t="n">
        <x:v>0</x:v>
      </x:c>
      <x:c r="R108" s="30" t="n">
        <x:v>0</x:v>
      </x:c>
      <x:c r="S108" s="30" t="n">
        <x:v>0</x:v>
      </x:c>
      <x:c r="T108" s="30" t="n">
        <x:v>0</x:v>
      </x:c>
      <x:c r="U108" s="30" t="n">
        <x:v>1</x:v>
      </x:c>
      <x:c r="V108" s="30" t="str">
        <x:v>1530</x:v>
      </x:c>
    </x:row>
    <x:row r="109">
      <x:c r="A109" s="29" t="str">
        <x:v>15060200</x:v>
      </x:c>
      <x:c r="B109" s="30" t="str">
        <x:v>DF-GR-10 BAO-ZHA</x:v>
      </x:c>
      <x:c r="C109" s="30" t="str">
        <x:v>Available</x:v>
      </x:c>
      <x:c r="D109" s="30" t="str">
        <x:v>GRENADE SHOTGUN - DF-GR-10 BAO-ZHA (Left)</x:v>
      </x:c>
      <x:c r="E109" s="30" t="n">
        <x:v>1</x:v>
      </x:c>
      <x:c r="F109" s="30" t="n">
        <x:v>7296</x:v>
      </x:c>
      <x:c r="G109" s="30" t="n">
        <x:v>391</x:v>
      </x:c>
      <x:c r="H109" s="30" t="n">
        <x:v>0</x:v>
      </x:c>
      <x:c r="I109" s="30" t="n">
        <x:v>0</x:v>
      </x:c>
      <x:c r="J109" s="30" t="n">
        <x:v>0</x:v>
      </x:c>
      <x:c r="K109" s="30" t="n">
        <x:v>0</x:v>
      </x:c>
      <x:c r="L109" s="30" t="n">
        <x:v>0</x:v>
      </x:c>
      <x:c r="M109" s="30" t="n">
        <x:v>0</x:v>
      </x:c>
      <x:c r="N109" s="30" t="n">
        <x:v>0</x:v>
      </x:c>
      <x:c r="O109" s="30" t="n">
        <x:v>18</x:v>
      </x:c>
      <x:c r="P109" s="30" t="n">
        <x:v>6.6</x:v>
      </x:c>
      <x:c r="Q109" s="30" t="n">
        <x:v>0</x:v>
      </x:c>
      <x:c r="R109" s="30" t="n">
        <x:v>0</x:v>
      </x:c>
      <x:c r="S109" s="30" t="n">
        <x:v>0</x:v>
      </x:c>
      <x:c r="T109" s="30" t="n">
        <x:v>0</x:v>
      </x:c>
      <x:c r="U109" s="30" t="n">
        <x:v>1</x:v>
      </x:c>
      <x:c r="V109" s="30" t="str">
        <x:v>1311</x:v>
      </x:c>
    </x:row>
    <x:row r="110">
      <x:c r="A110" s="29" t="str">
        <x:v>15060300</x:v>
      </x:c>
      <x:c r="B110" s="30" t="str">
        <x:v>CRAZ-B-0-00-OM "BOOMERPUNK"</x:v>
      </x:c>
      <x:c r="C110" s="30" t="str">
        <x:v>Available</x:v>
      </x:c>
      <x:c r="D110" s="30" t="str">
        <x:v>NAPALM GRENADE LAUNCHER - CRAZ-B-0-00-OM BOOMERPUNK (Left)</x:v>
      </x:c>
      <x:c r="E110" s="30" t="n">
        <x:v>1</x:v>
      </x:c>
      <x:c r="F110" s="30" t="n">
        <x:v>5120</x:v>
      </x:c>
      <x:c r="G110" s="30" t="n">
        <x:v>326</x:v>
      </x:c>
      <x:c r="H110" s="30" t="n">
        <x:v>1</x:v>
      </x:c>
      <x:c r="I110" s="30" t="n">
        <x:v>0</x:v>
      </x:c>
      <x:c r="J110" s="30" t="n">
        <x:v>0</x:v>
      </x:c>
      <x:c r="K110" s="30" t="n">
        <x:v>0</x:v>
      </x:c>
      <x:c r="L110" s="30" t="n">
        <x:v>0</x:v>
      </x:c>
      <x:c r="M110" s="30" t="n">
        <x:v>0</x:v>
      </x:c>
      <x:c r="N110" s="30" t="n">
        <x:v>0</x:v>
      </x:c>
      <x:c r="O110" s="30" t="n">
        <x:v>36</x:v>
      </x:c>
      <x:c r="P110" s="30" t="n">
        <x:v>6.1</x:v>
      </x:c>
      <x:c r="Q110" s="30" t="n">
        <x:v>0</x:v>
      </x:c>
      <x:c r="R110" s="30" t="n">
        <x:v>0</x:v>
      </x:c>
      <x:c r="S110" s="30" t="n">
        <x:v>0</x:v>
      </x:c>
      <x:c r="T110" s="30" t="n">
        <x:v>0</x:v>
      </x:c>
      <x:c r="U110" s="30" t="n">
        <x:v>1</x:v>
      </x:c>
      <x:c r="V110" s="30" t="str">
        <x:v>1434</x:v>
      </x:c>
    </x:row>
    <x:row r="111">
      <x:c r="A111" s="29" t="str">
        <x:v>15070400</x:v>
      </x:c>
      <x:c r="B111" s="30" t="str">
        <x:v>CRAZ-Y-B-33-ZZ "HORNETPUNK"</x:v>
      </x:c>
      <x:c r="C111" s="30" t="str">
        <x:v>Available</x:v>
      </x:c>
      <x:c r="D111" s="30" t="str">
        <x:v>SINGLE MISSILE LAUNCHER - WM-6000 HORNET (Left)</x:v>
      </x:c>
      <x:c r="E111" s="30" t="n">
        <x:v>1</x:v>
      </x:c>
      <x:c r="F111" s="30" t="n">
        <x:v>1450</x:v>
      </x:c>
      <x:c r="G111" s="30" t="n">
        <x:v>131</x:v>
      </x:c>
      <x:c r="H111" s="30" t="n">
        <x:v>0</x:v>
      </x:c>
      <x:c r="I111" s="30" t="n">
        <x:v>0</x:v>
      </x:c>
      <x:c r="J111" s="30" t="n">
        <x:v>0</x:v>
      </x:c>
      <x:c r="K111" s="30" t="n">
        <x:v>0</x:v>
      </x:c>
      <x:c r="L111" s="30" t="n">
        <x:v>0</x:v>
      </x:c>
      <x:c r="M111" s="30" t="n">
        <x:v>0</x:v>
      </x:c>
      <x:c r="N111" s="30" t="n">
        <x:v>1</x:v>
      </x:c>
      <x:c r="O111" s="30" t="n">
        <x:v>200</x:v>
      </x:c>
      <x:c r="P111" s="30" t="n">
        <x:v>5.2</x:v>
      </x:c>
      <x:c r="Q111" s="30" t="n">
        <x:v>0</x:v>
      </x:c>
      <x:c r="R111" s="30" t="n">
        <x:v>0</x:v>
      </x:c>
      <x:c r="S111" s="30" t="n">
        <x:v>0</x:v>
      </x:c>
      <x:c r="T111" s="30" t="n">
        <x:v>0</x:v>
      </x:c>
      <x:c r="U111" s="30" t="n">
        <x:v>1</x:v>
      </x:c>
      <x:c r="V111" s="30" t="str">
        <x:v>3011</x:v>
      </x:c>
    </x:row>
    <x:row r="112">
      <x:c r="A112" s="29" t="str">
        <x:v>15070500</x:v>
      </x:c>
      <x:c r="B112" s="30" t="str">
        <x:v>HG-005 ARNETT</x:v>
      </x:c>
      <x:c r="C112" s="30" t="str">
        <x:v>Available</x:v>
      </x:c>
      <x:c r="D112" s="30" t="str">
        <x:v>HANDGUN - HG-005 ARNETT (Left)</x:v>
      </x:c>
      <x:c r="E112" s="30" t="n">
        <x:v>1</x:v>
      </x:c>
      <x:c r="F112" s="30" t="n">
        <x:v>1790</x:v>
      </x:c>
      <x:c r="G112" s="30" t="n">
        <x:v>170</x:v>
      </x:c>
      <x:c r="H112" s="30" t="n">
        <x:v>0</x:v>
      </x:c>
      <x:c r="I112" s="30" t="n">
        <x:v>0</x:v>
      </x:c>
      <x:c r="J112" s="30" t="n">
        <x:v>0</x:v>
      </x:c>
      <x:c r="K112" s="30" t="n">
        <x:v>0</x:v>
      </x:c>
      <x:c r="L112" s="30" t="n">
        <x:v>0</x:v>
      </x:c>
      <x:c r="M112" s="30" t="n">
        <x:v>0</x:v>
      </x:c>
      <x:c r="N112" s="30" t="n">
        <x:v>0</x:v>
      </x:c>
      <x:c r="O112" s="30" t="n">
        <x:v>185</x:v>
      </x:c>
      <x:c r="P112" s="30" t="n">
        <x:v>2.3</x:v>
      </x:c>
      <x:c r="Q112" s="30" t="n">
        <x:v>0</x:v>
      </x:c>
      <x:c r="R112" s="30" t="n">
        <x:v>0</x:v>
      </x:c>
      <x:c r="S112" s="30" t="n">
        <x:v>0</x:v>
      </x:c>
      <x:c r="T112" s="30" t="n">
        <x:v>0</x:v>
      </x:c>
      <x:c r="U112" s="30" t="n">
        <x:v>1</x:v>
      </x:c>
      <x:c r="V112" s="30" t="str">
        <x:v>1521</x:v>
      </x:c>
    </x:row>
    <x:row r="113">
      <x:c r="A113" s="29" t="str">
        <x:v>15070600</x:v>
      </x:c>
      <x:c r="B113" s="30" t="str">
        <x:v>VX-660TG</x:v>
      </x:c>
      <x:c r="C113" s="30" t="str">
        <x:v>Available</x:v>
      </x:c>
      <x:c r="D113" s="30" t="str">
        <x:v>TESLA GUN - VX-660TG (Left)</x:v>
      </x:c>
      <x:c r="E113" s="30" t="n">
        <x:v>1</x:v>
      </x:c>
      <x:c r="F113" s="30" t="n">
        <x:v>2670</x:v>
      </x:c>
      <x:c r="G113" s="30" t="n">
        <x:v>601</x:v>
      </x:c>
      <x:c r="H113" s="30" t="n">
        <x:v>0</x:v>
      </x:c>
      <x:c r="I113" s="30" t="n">
        <x:v>0</x:v>
      </x:c>
      <x:c r="J113" s="30" t="n">
        <x:v>0</x:v>
      </x:c>
      <x:c r="K113" s="30" t="n">
        <x:v>0</x:v>
      </x:c>
      <x:c r="L113" s="30" t="n">
        <x:v>0</x:v>
      </x:c>
      <x:c r="M113" s="30" t="n">
        <x:v>0</x:v>
      </x:c>
      <x:c r="N113" s="30" t="n">
        <x:v>0</x:v>
      </x:c>
      <x:c r="O113" s="30" t="n">
        <x:v>88</x:v>
      </x:c>
      <x:c r="P113" s="30" t="n">
        <x:v>-1</x:v>
      </x:c>
      <x:c r="Q113" s="30" t="n">
        <x:v>0</x:v>
      </x:c>
      <x:c r="R113" s="30" t="n">
        <x:v>0</x:v>
      </x:c>
      <x:c r="S113" s="30" t="n">
        <x:v>0</x:v>
      </x:c>
      <x:c r="T113" s="30" t="n">
        <x:v>0</x:v>
      </x:c>
      <x:c r="U113" s="30" t="n">
        <x:v>1</x:v>
      </x:c>
      <x:c r="V113" s="30" t="str">
        <x:v>2222</x:v>
      </x:c>
    </x:row>
    <x:row r="114">
      <x:c r="A114" s="29" t="str">
        <x:v>15070700</x:v>
      </x:c>
      <x:c r="B114" s="30" t="str">
        <x:v>DF-HG-040 BING-CHILING</x:v>
      </x:c>
      <x:c r="C114" s="30" t="str">
        <x:v>Available</x:v>
      </x:c>
      <x:c r="D114" s="30" t="str">
        <x:v>HANDGUN - DF-HG-040 BING-CHILING (Left)</x:v>
      </x:c>
      <x:c r="E114" s="30" t="n">
        <x:v>1</x:v>
      </x:c>
      <x:c r="F114" s="30" t="n">
        <x:v>620</x:v>
      </x:c>
      <x:c r="G114" s="30" t="n">
        <x:v>144</x:v>
      </x:c>
      <x:c r="H114" s="30" t="n">
        <x:v>0</x:v>
      </x:c>
      <x:c r="I114" s="30" t="n">
        <x:v>0</x:v>
      </x:c>
      <x:c r="J114" s="30" t="n">
        <x:v>0</x:v>
      </x:c>
      <x:c r="K114" s="30" t="n">
        <x:v>0</x:v>
      </x:c>
      <x:c r="L114" s="30" t="n">
        <x:v>0</x:v>
      </x:c>
      <x:c r="M114" s="30" t="n">
        <x:v>0</x:v>
      </x:c>
      <x:c r="N114" s="30" t="n">
        <x:v>0</x:v>
      </x:c>
      <x:c r="O114" s="30" t="n">
        <x:v>2021</x:v>
      </x:c>
      <x:c r="P114" s="30" t="n">
        <x:v>1</x:v>
      </x:c>
      <x:c r="Q114" s="30" t="n">
        <x:v>0</x:v>
      </x:c>
      <x:c r="R114" s="30" t="n">
        <x:v>0</x:v>
      </x:c>
      <x:c r="S114" s="30" t="n">
        <x:v>0</x:v>
      </x:c>
      <x:c r="T114" s="30" t="n">
        <x:v>0</x:v>
      </x:c>
      <x:c r="U114" s="30" t="n">
        <x:v>1</x:v>
      </x:c>
      <x:c r="V114" s="30" t="str">
        <x:v>1831</x:v>
      </x:c>
    </x:row>
    <x:row r="115">
      <x:c r="A115" s="29" t="str">
        <x:v>15080300</x:v>
      </x:c>
      <x:c r="B115" s="30" t="str">
        <x:v>Vvc-761DD</x:v>
      </x:c>
      <x:c r="C115" s="30" t="str">
        <x:v>Available</x:v>
      </x:c>
      <x:c r="D115" s="30" t="str">
        <x:v>DRONE LAUNCHER - Vvc-761DL (Left)</x:v>
      </x:c>
      <x:c r="E115" s="30" t="n">
        <x:v>1</x:v>
      </x:c>
      <x:c r="F115" s="30" t="n">
        <x:v>3170</x:v>
      </x:c>
      <x:c r="G115" s="30" t="n">
        <x:v>187</x:v>
      </x:c>
      <x:c r="H115" s="30" t="n">
        <x:v>4</x:v>
      </x:c>
      <x:c r="I115" s="30" t="n">
        <x:v>4</x:v>
      </x:c>
      <x:c r="J115" s="30" t="n">
        <x:v>4</x:v>
      </x:c>
      <x:c r="K115" s="30" t="n">
        <x:v>4</x:v>
      </x:c>
      <x:c r="L115" s="30" t="n">
        <x:v>4</x:v>
      </x:c>
      <x:c r="M115" s="30" t="n">
        <x:v>4</x:v>
      </x:c>
      <x:c r="N115" s="30" t="n">
        <x:v>4</x:v>
      </x:c>
      <x:c r="O115" s="30" t="n">
        <x:v>120</x:v>
      </x:c>
      <x:c r="P115" s="30" t="n">
        <x:v>9.8</x:v>
      </x:c>
      <x:c r="Q115" s="30" t="n">
        <x:v>0</x:v>
      </x:c>
      <x:c r="R115" s="30" t="n">
        <x:v>4</x:v>
      </x:c>
      <x:c r="S115" s="30" t="n">
        <x:v>4</x:v>
      </x:c>
      <x:c r="T115" s="30" t="n">
        <x:v>4</x:v>
      </x:c>
      <x:c r="U115" s="30" t="n">
        <x:v>1</x:v>
      </x:c>
      <x:c r="V115" s="30" t="str">
        <x:v>2111</x:v>
      </x:c>
    </x:row>
    <x:row r="116">
      <x:c r="A116" s="29" t="str">
        <x:v>15080400</x:v>
      </x:c>
      <x:c r="B116" s="30" t="str">
        <x:v>HI-25: GU-B7</x:v>
      </x:c>
      <x:c r="C116" s="30" t="str">
        <x:v>Available</x:v>
      </x:c>
      <x:c r="D116" s="30" t="str">
        <x:v>PULSE BOMB LAUNCHER - HI-25: GU-B7 (Left)</x:v>
      </x:c>
      <x:c r="E116" s="30" t="n">
        <x:v>1</x:v>
      </x:c>
      <x:c r="F116" s="30" t="n">
        <x:v>3110</x:v>
      </x:c>
      <x:c r="G116" s="30" t="n">
        <x:v>414</x:v>
      </x:c>
      <x:c r="H116" s="30" t="n">
        <x:v>1</x:v>
      </x:c>
      <x:c r="I116" s="30" t="n">
        <x:v>0</x:v>
      </x:c>
      <x:c r="J116" s="30" t="n">
        <x:v>0</x:v>
      </x:c>
      <x:c r="K116" s="30" t="n">
        <x:v>0</x:v>
      </x:c>
      <x:c r="L116" s="30" t="n">
        <x:v>0</x:v>
      </x:c>
      <x:c r="M116" s="30" t="n">
        <x:v>0</x:v>
      </x:c>
      <x:c r="N116" s="30" t="n">
        <x:v>0</x:v>
      </x:c>
      <x:c r="O116" s="30" t="n">
        <x:v>19</x:v>
      </x:c>
      <x:c r="P116" s="30" t="n">
        <x:v>6.5</x:v>
      </x:c>
      <x:c r="Q116" s="30" t="n">
        <x:v>0</x:v>
      </x:c>
      <x:c r="R116" s="30" t="n">
        <x:v>0</x:v>
      </x:c>
      <x:c r="S116" s="30" t="n">
        <x:v>0</x:v>
      </x:c>
      <x:c r="T116" s="30" t="n">
        <x:v>0</x:v>
      </x:c>
      <x:c r="U116" s="30" t="n">
        <x:v>1</x:v>
      </x:c>
      <x:c r="V116" s="30" t="str">
        <x:v>2112</x:v>
      </x:c>
    </x:row>
    <x:row r="117">
      <x:c r="A117" s="29" t="str">
        <x:v>15080500</x:v>
      </x:c>
      <x:c r="B117" s="30" t="str">
        <x:v>MA-T-220 MORI</x:v>
      </x:c>
      <x:c r="C117" s="30" t="str">
        <x:v>Available</x:v>
      </x:c>
      <x:c r="D117" s="30" t="str">
        <x:v>BOMB LAUNCHER - MA-T-220 MORI (Left)</x:v>
      </x:c>
      <x:c r="E117" s="30" t="n">
        <x:v>1</x:v>
      </x:c>
      <x:c r="F117" s="30" t="n">
        <x:v>2890</x:v>
      </x:c>
      <x:c r="G117" s="30" t="n">
        <x:v>95</x:v>
      </x:c>
      <x:c r="H117" s="30" t="n">
        <x:v>2</x:v>
      </x:c>
      <x:c r="I117" s="30" t="n">
        <x:v>0</x:v>
      </x:c>
      <x:c r="J117" s="30" t="n">
        <x:v>2</x:v>
      </x:c>
      <x:c r="K117" s="30" t="n">
        <x:v>2</x:v>
      </x:c>
      <x:c r="L117" s="30" t="n">
        <x:v>1</x:v>
      </x:c>
      <x:c r="M117" s="30" t="n">
        <x:v>2</x:v>
      </x:c>
      <x:c r="N117" s="30" t="n">
        <x:v>0</x:v>
      </x:c>
      <x:c r="O117" s="30" t="n">
        <x:v>62</x:v>
      </x:c>
      <x:c r="P117" s="30" t="n">
        <x:v>6.2</x:v>
      </x:c>
      <x:c r="Q117" s="30" t="n">
        <x:v>0</x:v>
      </x:c>
      <x:c r="R117" s="30" t="n">
        <x:v>1</x:v>
      </x:c>
      <x:c r="S117" s="30" t="n">
        <x:v>1</x:v>
      </x:c>
      <x:c r="T117" s="30" t="n">
        <x:v>1</x:v>
      </x:c>
      <x:c r="U117" s="30" t="n">
        <x:v>1</x:v>
      </x:c>
      <x:c r="V117" s="30" t="str">
        <x:v>2110</x:v>
      </x:c>
    </x:row>
    <x:row r="118">
      <x:c r="A118" s="29" t="str">
        <x:v>15080600</x:v>
      </x:c>
      <x:c r="B118" s="30" t="str">
        <x:v>CRAZ-E-D-01-LY "OILPUNK"</x:v>
      </x:c>
      <x:c r="C118" s="30" t="str">
        <x:v>Available</x:v>
      </x:c>
      <x:c r="D118" s="30" t="str">
        <x:v>TAR BOMB LAUNCHER - TAR (Left)</x:v>
      </x:c>
      <x:c r="E118" s="30" t="n">
        <x:v>1</x:v>
      </x:c>
      <x:c r="F118" s="30" t="n">
        <x:v>2900</x:v>
      </x:c>
      <x:c r="G118" s="30" t="n">
        <x:v>88</x:v>
      </x:c>
      <x:c r="H118" s="30" t="n">
        <x:v>1</x:v>
      </x:c>
      <x:c r="I118" s="30" t="n">
        <x:v>0</x:v>
      </x:c>
      <x:c r="J118" s="30" t="n">
        <x:v>1</x:v>
      </x:c>
      <x:c r="K118" s="30" t="n">
        <x:v>1</x:v>
      </x:c>
      <x:c r="L118" s="30" t="n">
        <x:v>1</x:v>
      </x:c>
      <x:c r="M118" s="30" t="n">
        <x:v>1</x:v>
      </x:c>
      <x:c r="N118" s="30" t="n">
        <x:v>0</x:v>
      </x:c>
      <x:c r="O118" s="30" t="n">
        <x:v>120</x:v>
      </x:c>
      <x:c r="P118" s="30" t="n">
        <x:v>4</x:v>
      </x:c>
      <x:c r="Q118" s="30" t="n">
        <x:v>0</x:v>
      </x:c>
      <x:c r="R118" s="30" t="n">
        <x:v>0</x:v>
      </x:c>
      <x:c r="S118" s="30" t="n">
        <x:v>0</x:v>
      </x:c>
      <x:c r="T118" s="30" t="n">
        <x:v>0</x:v>
      </x:c>
      <x:c r="U118" s="30" t="n">
        <x:v>1</x:v>
      </x:c>
      <x:c r="V118" s="30" t="str">
        <x:v>1118</x:v>
      </x:c>
    </x:row>
    <x:row r="119">
      <x:c r="A119" s="29" t="str">
        <x:v>15090200</x:v>
      </x:c>
      <x:c r="B119" s="30" t="str">
        <x:v>M-MOD_3 ARABLEST</x:v>
      </x:c>
      <x:c r="C119" s="30" t="str">
        <x:v>Available</x:v>
      </x:c>
      <x:c r="D119" s="30" t="str">
        <x:v>PLASMA MISSILE LAUNCHER - M-MOD_3 VESTIGIUM (Left)</x:v>
      </x:c>
      <x:c r="E119" s="30" t="n">
        <x:v>1</x:v>
      </x:c>
      <x:c r="F119" s="30" t="n">
        <x:v>3870</x:v>
      </x:c>
      <x:c r="G119" s="30" t="n">
        <x:v>235</x:v>
      </x:c>
      <x:c r="H119" s="30" t="n">
        <x:v>1</x:v>
      </x:c>
      <x:c r="I119" s="30" t="n">
        <x:v>1</x:v>
      </x:c>
      <x:c r="J119" s="30" t="n">
        <x:v>1</x:v>
      </x:c>
      <x:c r="K119" s="30" t="n">
        <x:v>1</x:v>
      </x:c>
      <x:c r="L119" s="30" t="n">
        <x:v>1</x:v>
      </x:c>
      <x:c r="M119" s="30" t="n">
        <x:v>1</x:v>
      </x:c>
      <x:c r="N119" s="30" t="n">
        <x:v>0</x:v>
      </x:c>
      <x:c r="O119" s="30" t="n">
        <x:v>160</x:v>
      </x:c>
      <x:c r="P119" s="30" t="n">
        <x:v>3.7</x:v>
      </x:c>
      <x:c r="Q119" s="30" t="n">
        <x:v>0</x:v>
      </x:c>
      <x:c r="R119" s="30" t="n">
        <x:v>0</x:v>
      </x:c>
      <x:c r="S119" s="30" t="n">
        <x:v>0</x:v>
      </x:c>
      <x:c r="T119" s="30" t="n">
        <x:v>0</x:v>
      </x:c>
      <x:c r="U119" s="30" t="n">
        <x:v>1</x:v>
      </x:c>
      <x:c r="V119" s="30" t="str">
        <x:v>2228</x:v>
      </x:c>
    </x:row>
    <x:row r="120">
      <x:c r="A120" s="29" t="str">
        <x:v>15110400</x:v>
      </x:c>
      <x:c r="B120" s="30" t="str">
        <x:v>VE-66SN</x:v>
      </x:c>
      <x:c r="C120" s="30" t="str">
        <x:v>Available</x:v>
      </x:c>
      <x:c r="D120" s="30" t="str">
        <x:v>LASER SNIPER RIFLE - VE-66SN (Left)</x:v>
      </x:c>
      <x:c r="E120" s="30" t="n">
        <x:v>1</x:v>
      </x:c>
      <x:c r="F120" s="30" t="n">
        <x:v>4940</x:v>
      </x:c>
      <x:c r="G120" s="30" t="n">
        <x:v>525</x:v>
      </x:c>
      <x:c r="H120" s="30" t="n">
        <x:v>0</x:v>
      </x:c>
      <x:c r="I120" s="30" t="n">
        <x:v>0</x:v>
      </x:c>
      <x:c r="J120" s="30" t="n">
        <x:v>0</x:v>
      </x:c>
      <x:c r="K120" s="30" t="n">
        <x:v>0</x:v>
      </x:c>
      <x:c r="L120" s="30" t="n">
        <x:v>0</x:v>
      </x:c>
      <x:c r="M120" s="30" t="n">
        <x:v>0</x:v>
      </x:c>
      <x:c r="N120" s="30" t="n">
        <x:v>0</x:v>
      </x:c>
      <x:c r="O120" s="30" t="n">
        <x:v>70</x:v>
      </x:c>
      <x:c r="P120" s="30" t="n">
        <x:v>0</x:v>
      </x:c>
      <x:c r="Q120" s="30" t="n">
        <x:v>0</x:v>
      </x:c>
      <x:c r="R120" s="30" t="n">
        <x:v>0</x:v>
      </x:c>
      <x:c r="S120" s="30" t="n">
        <x:v>0</x:v>
      </x:c>
      <x:c r="T120" s="30" t="n">
        <x:v>0</x:v>
      </x:c>
      <x:c r="U120" s="30" t="n">
        <x:v>1</x:v>
      </x:c>
      <x:c r="V120" s="30" t="str">
        <x:v>2121</x:v>
      </x:c>
    </x:row>
    <x:row r="121">
      <x:c r="A121" s="29" t="str">
        <x:v>15110800</x:v>
      </x:c>
      <x:c r="B121" s="30" t="str">
        <x:v>IB-C03W6: CLA 020</x:v>
      </x:c>
      <x:c r="C121" s="30" t="str">
        <x:v>Available</x:v>
      </x:c>
      <x:c r="D121" s="30" t="str">
        <x:v>CORAL HANDGUN - IB-C03W6: CLA 020 (Left)</x:v>
      </x:c>
      <x:c r="E121" s="30" t="n">
        <x:v>1</x:v>
      </x:c>
      <x:c r="F121" s="30" t="n">
        <x:v>3210</x:v>
      </x:c>
      <x:c r="G121" s="30" t="n">
        <x:v>445</x:v>
      </x:c>
      <x:c r="H121" s="30" t="n">
        <x:v>0</x:v>
      </x:c>
      <x:c r="I121" s="30" t="n">
        <x:v>0</x:v>
      </x:c>
      <x:c r="J121" s="30" t="n">
        <x:v>0</x:v>
      </x:c>
      <x:c r="K121" s="30" t="n">
        <x:v>0</x:v>
      </x:c>
      <x:c r="L121" s="30" t="n">
        <x:v>0</x:v>
      </x:c>
      <x:c r="M121" s="30" t="n">
        <x:v>0</x:v>
      </x:c>
      <x:c r="N121" s="30" t="n">
        <x:v>0</x:v>
      </x:c>
      <x:c r="O121" s="30" t="n">
        <x:v>95</x:v>
      </x:c>
      <x:c r="P121" s="30" t="n">
        <x:v>0</x:v>
      </x:c>
      <x:c r="Q121" s="30" t="n">
        <x:v>0</x:v>
      </x:c>
      <x:c r="R121" s="30" t="n">
        <x:v>0</x:v>
      </x:c>
      <x:c r="S121" s="30" t="n">
        <x:v>0</x:v>
      </x:c>
      <x:c r="T121" s="30" t="n">
        <x:v>0</x:v>
      </x:c>
      <x:c r="U121" s="30" t="n">
        <x:v>1</x:v>
      </x:c>
      <x:c r="V121" s="30" t="str">
        <x:v>2731</x:v>
      </x:c>
    </x:row>
    <x:row r="122">
      <x:c r="A122" s="29" t="str">
        <x:v>15120200</x:v>
      </x:c>
      <x:c r="B122" s="30" t="str">
        <x:v>S-MOD_8 GLADIUS</x:v>
      </x:c>
      <x:c r="C122" s="30" t="str">
        <x:v>Available</x:v>
      </x:c>
      <x:c r="D122" s="30" t="str">
        <x:v>PLASMA SHOTGUN - Vvc-710PS (Left)</x:v>
      </x:c>
      <x:c r="E122" s="30" t="n">
        <x:v>1</x:v>
      </x:c>
      <x:c r="F122" s="30" t="n">
        <x:v>5630</x:v>
      </x:c>
      <x:c r="G122" s="30" t="n">
        <x:v>500</x:v>
      </x:c>
      <x:c r="H122" s="30" t="n">
        <x:v>1</x:v>
      </x:c>
      <x:c r="I122" s="30" t="n">
        <x:v>1</x:v>
      </x:c>
      <x:c r="J122" s="30" t="n">
        <x:v>1</x:v>
      </x:c>
      <x:c r="K122" s="30" t="n">
        <x:v>1</x:v>
      </x:c>
      <x:c r="L122" s="30" t="n">
        <x:v>1</x:v>
      </x:c>
      <x:c r="M122" s="30" t="n">
        <x:v>1</x:v>
      </x:c>
      <x:c r="N122" s="30" t="n">
        <x:v>0</x:v>
      </x:c>
      <x:c r="O122" s="30" t="n">
        <x:v>51</x:v>
      </x:c>
      <x:c r="P122" s="30" t="n">
        <x:v>0</x:v>
      </x:c>
      <x:c r="Q122" s="30" t="n">
        <x:v>0</x:v>
      </x:c>
      <x:c r="R122" s="30" t="n">
        <x:v>1</x:v>
      </x:c>
      <x:c r="S122" s="30" t="n">
        <x:v>1</x:v>
      </x:c>
      <x:c r="T122" s="30" t="n">
        <x:v>1</x:v>
      </x:c>
      <x:c r="U122" s="30" t="n">
        <x:v>1</x:v>
      </x:c>
      <x:c r="V122" s="30" t="str">
        <x:v>2430</x:v>
      </x:c>
    </x:row>
    <x:row r="123">
      <x:c r="A123" s="29" t="str">
        <x:v>15120400</x:v>
      </x:c>
      <x:c r="B123" s="30" t="str">
        <x:v>R-MOD_13 TURRIS</x:v>
      </x:c>
      <x:c r="C123" s="30" t="str">
        <x:v>Available</x:v>
      </x:c>
      <x:c r="D123" s="30" t="str">
        <x:v>HEAVY PLASMA RIFLE - R-MOD_13 TURRIS (Left)</x:v>
      </x:c>
      <x:c r="E123" s="30" t="n">
        <x:v>1</x:v>
      </x:c>
      <x:c r="F123" s="30" t="n">
        <x:v>9820</x:v>
      </x:c>
      <x:c r="G123" s="30" t="n">
        <x:v>805</x:v>
      </x:c>
      <x:c r="H123" s="30" t="n">
        <x:v>1</x:v>
      </x:c>
      <x:c r="I123" s="30" t="n">
        <x:v>1</x:v>
      </x:c>
      <x:c r="J123" s="30" t="n">
        <x:v>1</x:v>
      </x:c>
      <x:c r="K123" s="30" t="n">
        <x:v>1</x:v>
      </x:c>
      <x:c r="L123" s="30" t="n">
        <x:v>1</x:v>
      </x:c>
      <x:c r="M123" s="30" t="n">
        <x:v>1</x:v>
      </x:c>
      <x:c r="N123" s="30" t="n">
        <x:v>0</x:v>
      </x:c>
      <x:c r="O123" s="30" t="n">
        <x:v>109</x:v>
      </x:c>
      <x:c r="P123" s="30" t="n">
        <x:v>0</x:v>
      </x:c>
      <x:c r="Q123" s="30" t="n">
        <x:v>1</x:v>
      </x:c>
      <x:c r="R123" s="30" t="n">
        <x:v>1</x:v>
      </x:c>
      <x:c r="S123" s="30" t="n">
        <x:v>0</x:v>
      </x:c>
      <x:c r="T123" s="30" t="n">
        <x:v>0</x:v>
      </x:c>
      <x:c r="U123" s="30" t="n">
        <x:v>1</x:v>
      </x:c>
      <x:c r="V123" s="30" t="str">
        <x:v>9224</x:v>
      </x:c>
    </x:row>
    <x:row r="124">
      <x:c r="A124" s="29" t="str">
        <x:v>15132000</x:v>
      </x:c>
      <x:c r="B124" s="30" t="str">
        <x:v>HI-17: GU-S4</x:v>
      </x:c>
      <x:c r="C124" s="30" t="str">
        <x:v>Available</x:v>
      </x:c>
      <x:c r="D124" s="30" t="str">
        <x:v>PULSE SHOTGUN - HI-17: GU-S4 (Left)</x:v>
      </x:c>
      <x:c r="E124" s="30" t="n">
        <x:v>1</x:v>
      </x:c>
      <x:c r="F124" s="30" t="n">
        <x:v>2910</x:v>
      </x:c>
      <x:c r="G124" s="30" t="n">
        <x:v>471</x:v>
      </x:c>
      <x:c r="H124" s="30" t="n">
        <x:v>0</x:v>
      </x:c>
      <x:c r="I124" s="30" t="n">
        <x:v>0</x:v>
      </x:c>
      <x:c r="J124" s="30" t="n">
        <x:v>0</x:v>
      </x:c>
      <x:c r="K124" s="30" t="n">
        <x:v>0</x:v>
      </x:c>
      <x:c r="L124" s="30" t="n">
        <x:v>0</x:v>
      </x:c>
      <x:c r="M124" s="30" t="n">
        <x:v>0</x:v>
      </x:c>
      <x:c r="N124" s="30" t="n">
        <x:v>0</x:v>
      </x:c>
      <x:c r="O124" s="30" t="n">
        <x:v>70</x:v>
      </x:c>
      <x:c r="P124" s="30" t="n">
        <x:v>0</x:v>
      </x:c>
      <x:c r="Q124" s="30" t="n">
        <x:v>0</x:v>
      </x:c>
      <x:c r="R124" s="30" t="n">
        <x:v>0</x:v>
      </x:c>
      <x:c r="S124" s="30" t="n">
        <x:v>0</x:v>
      </x:c>
      <x:c r="T124" s="30" t="n">
        <x:v>0</x:v>
      </x:c>
      <x:c r="U124" s="30" t="n">
        <x:v>1</x:v>
      </x:c>
      <x:c r="V124" s="30" t="str">
        <x:v>2850</x:v>
      </x:c>
    </x:row>
    <x:row r="125">
      <x:c r="A125" s="29" t="str">
        <x:v>15150400</x:v>
      </x:c>
      <x:c r="B125" s="30" t="str">
        <x:v>Vvc-762CR</x:v>
      </x:c>
      <x:c r="C125" s="30" t="str">
        <x:v>Available</x:v>
      </x:c>
      <x:c r="D125" s="30" t="str">
        <x:v>CONCENTRATED PLASMA RIFLE - Vvc-780CR (Left)</x:v>
      </x:c>
      <x:c r="E125" s="30" t="n">
        <x:v>1</x:v>
      </x:c>
      <x:c r="F125" s="30" t="n">
        <x:v>5240</x:v>
      </x:c>
      <x:c r="G125" s="30" t="n">
        <x:v>640</x:v>
      </x:c>
      <x:c r="H125" s="30" t="n">
        <x:v>4</x:v>
      </x:c>
      <x:c r="I125" s="30" t="n">
        <x:v>0</x:v>
      </x:c>
      <x:c r="J125" s="30" t="n">
        <x:v>4</x:v>
      </x:c>
      <x:c r="K125" s="30" t="n">
        <x:v>4</x:v>
      </x:c>
      <x:c r="L125" s="30" t="n">
        <x:v>4</x:v>
      </x:c>
      <x:c r="M125" s="30" t="n">
        <x:v>4</x:v>
      </x:c>
      <x:c r="N125" s="30" t="n">
        <x:v>4</x:v>
      </x:c>
      <x:c r="O125" s="30" t="n">
        <x:v>45</x:v>
      </x:c>
      <x:c r="P125" s="30" t="n">
        <x:v>0</x:v>
      </x:c>
      <x:c r="Q125" s="30" t="n">
        <x:v>0</x:v>
      </x:c>
      <x:c r="R125" s="30" t="n">
        <x:v>1</x:v>
      </x:c>
      <x:c r="S125" s="30" t="n">
        <x:v>1</x:v>
      </x:c>
      <x:c r="T125" s="30" t="n">
        <x:v>1</x:v>
      </x:c>
      <x:c r="U125" s="30" t="n">
        <x:v>1</x:v>
      </x:c>
      <x:c r="V125" s="30" t="str">
        <x:v>2733</x:v>
      </x:c>
    </x:row>
    <x:row r="126">
      <x:c r="A126" s="29" t="str">
        <x:v>15150500</x:v>
      </x:c>
      <x:c r="B126" s="30" t="str">
        <x:v>R-MOD_9 SARISSA</x:v>
      </x:c>
      <x:c r="C126" s="30" t="str">
        <x:v>Available</x:v>
      </x:c>
      <x:c r="D126" s="30" t="str">
        <x:v>PLASMA RIFLE - R-MOD_9 SARISSA (Left)</x:v>
      </x:c>
      <x:c r="E126" s="30" t="n">
        <x:v>1</x:v>
      </x:c>
      <x:c r="F126" s="30" t="n">
        <x:v>4000</x:v>
      </x:c>
      <x:c r="G126" s="30" t="n">
        <x:v>704</x:v>
      </x:c>
      <x:c r="H126" s="30" t="n">
        <x:v>1</x:v>
      </x:c>
      <x:c r="I126" s="30" t="n">
        <x:v>1</x:v>
      </x:c>
      <x:c r="J126" s="30" t="n">
        <x:v>1</x:v>
      </x:c>
      <x:c r="K126" s="30" t="n">
        <x:v>1</x:v>
      </x:c>
      <x:c r="L126" s="30" t="n">
        <x:v>1</x:v>
      </x:c>
      <x:c r="M126" s="30" t="n">
        <x:v>1</x:v>
      </x:c>
      <x:c r="N126" s="30" t="n">
        <x:v>0</x:v>
      </x:c>
      <x:c r="O126" s="30" t="n">
        <x:v>63</x:v>
      </x:c>
      <x:c r="P126" s="30" t="n">
        <x:v>0</x:v>
      </x:c>
      <x:c r="Q126" s="30" t="n">
        <x:v>0</x:v>
      </x:c>
      <x:c r="R126" s="30" t="n">
        <x:v>1</x:v>
      </x:c>
      <x:c r="S126" s="30" t="n">
        <x:v>1</x:v>
      </x:c>
      <x:c r="T126" s="30" t="n">
        <x:v>1</x:v>
      </x:c>
      <x:c r="U126" s="30" t="n">
        <x:v>1</x:v>
      </x:c>
      <x:c r="V126" s="30" t="str">
        <x:v>2635</x:v>
      </x:c>
    </x:row>
    <x:row r="127">
      <x:c r="A127" s="29" t="str">
        <x:v>15161000</x:v>
      </x:c>
      <x:c r="B127" s="30" t="str">
        <x:v>WM-9876 MELTDOWN</x:v>
      </x:c>
      <x:c r="C127" s="30" t="str">
        <x:v>No matching stat row</x:v>
      </x:c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</x:row>
    <x:row r="128">
      <x:c r="A128" s="29" t="str">
        <x:v>20011000</x:v>
      </x:c>
      <x:c r="B128" s="30" t="str">
        <x:v>CRAZ-E-B-09-SL "CUTTERPUNK"</x:v>
      </x:c>
      <x:c r="C128" s="30" t="str">
        <x:v>Available</x:v>
      </x:c>
      <x:c r="D128" s="30" t="str">
        <x:v>FLAME BLADE - CRAZ-E-B-09-SL CUTTERPUNK</x:v>
      </x:c>
      <x:c r="E128" s="30" t="n">
        <x:v>2</x:v>
      </x:c>
      <x:c r="F128" s="30" t="n">
        <x:v>2370</x:v>
      </x:c>
      <x:c r="G128" s="30" t="n">
        <x:v>157</x:v>
      </x:c>
      <x:c r="H128" s="30" t="n">
        <x:v>0</x:v>
      </x:c>
      <x:c r="I128" s="30" t="n">
        <x:v>0</x:v>
      </x:c>
      <x:c r="J128" s="30" t="n">
        <x:v>0</x:v>
      </x:c>
      <x:c r="K128" s="30" t="n">
        <x:v>0</x:v>
      </x:c>
      <x:c r="L128" s="30" t="n">
        <x:v>0</x:v>
      </x:c>
      <x:c r="M128" s="30" t="n">
        <x:v>0</x:v>
      </x:c>
      <x:c r="N128" s="30" t="n">
        <x:v>0</x:v>
      </x:c>
      <x:c r="O128" s="30" t="n">
        <x:v>-1</x:v>
      </x:c>
      <x:c r="P128" s="30" t="n">
        <x:v>0</x:v>
      </x:c>
      <x:c r="Q128" s="30" t="n">
        <x:v>0</x:v>
      </x:c>
      <x:c r="R128" s="30" t="n">
        <x:v>0</x:v>
      </x:c>
      <x:c r="S128" s="30" t="n">
        <x:v>0</x:v>
      </x:c>
      <x:c r="T128" s="30" t="n">
        <x:v>0</x:v>
      </x:c>
      <x:c r="U128" s="30" t="n">
        <x:v>1</x:v>
      </x:c>
      <x:c r="V128" s="30" t="str">
        <x:v>222</x:v>
      </x:c>
    </x:row>
    <x:row r="129">
      <x:c r="A129" s="29" t="str">
        <x:v>20012000</x:v>
      </x:c>
      <x:c r="B129" s="30" t="str">
        <x:v>VE-67VLB</x:v>
      </x:c>
      <x:c r="C129" s="30" t="str">
        <x:v>Available</x:v>
      </x:c>
      <x:c r="D129" s="30" t="str">
        <x:v>VARIABLE LASER BLADE - VE-67VLB</x:v>
      </x:c>
      <x:c r="E129" s="30" t="n">
        <x:v>2</x:v>
      </x:c>
      <x:c r="F129" s="30" t="n">
        <x:v>2550</x:v>
      </x:c>
      <x:c r="G129" s="30" t="n">
        <x:v>616</x:v>
      </x:c>
      <x:c r="H129" s="30" t="n">
        <x:v>0</x:v>
      </x:c>
      <x:c r="I129" s="30" t="n">
        <x:v>0</x:v>
      </x:c>
      <x:c r="J129" s="30" t="n">
        <x:v>0</x:v>
      </x:c>
      <x:c r="K129" s="30" t="n">
        <x:v>0</x:v>
      </x:c>
      <x:c r="L129" s="30" t="n">
        <x:v>0</x:v>
      </x:c>
      <x:c r="M129" s="30" t="n">
        <x:v>0</x:v>
      </x:c>
      <x:c r="N129" s="30" t="n">
        <x:v>0</x:v>
      </x:c>
      <x:c r="O129" s="30" t="n">
        <x:v>-1</x:v>
      </x:c>
      <x:c r="P129" s="30" t="n">
        <x:v>0</x:v>
      </x:c>
      <x:c r="Q129" s="30" t="n">
        <x:v>0</x:v>
      </x:c>
      <x:c r="R129" s="30" t="n">
        <x:v>0</x:v>
      </x:c>
      <x:c r="S129" s="30" t="n">
        <x:v>0</x:v>
      </x:c>
      <x:c r="T129" s="30" t="n">
        <x:v>0</x:v>
      </x:c>
      <x:c r="U129" s="30" t="n">
        <x:v>1</x:v>
      </x:c>
      <x:c r="V129" s="30" t="str">
        <x:v>212</x:v>
      </x:c>
    </x:row>
    <x:row r="130">
      <x:c r="A130" s="29" t="str">
        <x:v>20040100</x:v>
      </x:c>
      <x:c r="B130" s="30" t="str">
        <x:v>LX-04 CORINTHIAN</x:v>
      </x:c>
      <x:c r="C130" s="30" t="str">
        <x:v>Available</x:v>
      </x:c>
      <x:c r="D130" s="30" t="str">
        <x:v>ARM BLADE - BX-04 ELIJAH</x:v>
      </x:c>
      <x:c r="E130" s="30" t="n">
        <x:v>2</x:v>
      </x:c>
      <x:c r="F130" s="30" t="n">
        <x:v>0</x:v>
      </x:c>
      <x:c r="G130" s="30" t="n">
        <x:v>0</x:v>
      </x:c>
      <x:c r="H130" s="30" t="n">
        <x:v>0</x:v>
      </x:c>
      <x:c r="I130" s="30" t="n">
        <x:v>0</x:v>
      </x:c>
      <x:c r="J130" s="30" t="n">
        <x:v>0</x:v>
      </x:c>
      <x:c r="K130" s="30" t="n">
        <x:v>0</x:v>
      </x:c>
      <x:c r="L130" s="30" t="n">
        <x:v>0</x:v>
      </x:c>
      <x:c r="M130" s="30" t="n">
        <x:v>0</x:v>
      </x:c>
      <x:c r="N130" s="30" t="n">
        <x:v>0</x:v>
      </x:c>
      <x:c r="O130" s="30" t="n">
        <x:v>-1</x:v>
      </x:c>
      <x:c r="P130" s="30" t="n">
        <x:v>0</x:v>
      </x:c>
      <x:c r="Q130" s="30" t="n">
        <x:v>0</x:v>
      </x:c>
      <x:c r="R130" s="30" t="n">
        <x:v>0</x:v>
      </x:c>
      <x:c r="S130" s="30" t="n">
        <x:v>0</x:v>
      </x:c>
      <x:c r="T130" s="30" t="n">
        <x:v>0</x:v>
      </x:c>
      <x:c r="U130" s="30" t="n">
        <x:v>1</x:v>
      </x:c>
      <x:c r="V130" s="30" t="str">
        <x:v>250</x:v>
      </x:c>
    </x:row>
    <x:row r="131">
      <x:c r="A131" s="29" t="str">
        <x:v>20060100</x:v>
      </x:c>
      <x:c r="B131" s="30" t="str">
        <x:v>CRAZ-G-R-15-DR "GRINDAPUNK"</x:v>
      </x:c>
      <x:c r="C131" s="30" t="str">
        <x:v>Available</x:v>
      </x:c>
      <x:c r="D131" s="30" t="str">
        <x:v>GRINDER ARM - CRAZ-G-R-15-DR GRINDAPUNK</x:v>
      </x:c>
      <x:c r="E131" s="30" t="n">
        <x:v>2</x:v>
      </x:c>
      <x:c r="F131" s="30" t="n">
        <x:v>11240</x:v>
      </x:c>
      <x:c r="G131" s="30" t="n">
        <x:v>355</x:v>
      </x:c>
      <x:c r="H131" s="30" t="n">
        <x:v>0</x:v>
      </x:c>
      <x:c r="I131" s="30" t="n">
        <x:v>0</x:v>
      </x:c>
      <x:c r="J131" s="30" t="n">
        <x:v>0</x:v>
      </x:c>
      <x:c r="K131" s="30" t="n">
        <x:v>0</x:v>
      </x:c>
      <x:c r="L131" s="30" t="n">
        <x:v>0</x:v>
      </x:c>
      <x:c r="M131" s="30" t="n">
        <x:v>0</x:v>
      </x:c>
      <x:c r="N131" s="30" t="n">
        <x:v>0</x:v>
      </x:c>
      <x:c r="O131" s="30" t="n">
        <x:v>-1</x:v>
      </x:c>
      <x:c r="P131" s="30" t="n">
        <x:v>0</x:v>
      </x:c>
      <x:c r="Q131" s="30" t="n">
        <x:v>0</x:v>
      </x:c>
      <x:c r="R131" s="30" t="n">
        <x:v>0</x:v>
      </x:c>
      <x:c r="S131" s="30" t="n">
        <x:v>0</x:v>
      </x:c>
      <x:c r="T131" s="30" t="n">
        <x:v>0</x:v>
      </x:c>
      <x:c r="U131" s="30" t="n">
        <x:v>1</x:v>
      </x:c>
      <x:c r="V131" s="30" t="str">
        <x:v>1013</x:v>
      </x:c>
    </x:row>
    <x:row r="132">
      <x:c r="A132" s="29" t="str">
        <x:v>20081000</x:v>
      </x:c>
      <x:c r="B132" s="30" t="str">
        <x:v>LX-05 COLOSSIAN</x:v>
      </x:c>
      <x:c r="C132" s="30" t="str">
        <x:v>Available</x:v>
      </x:c>
      <x:c r="D132" s="30" t="str">
        <x:v>DISRUPTOR MACE - LX-05 COLLOSSIAN</x:v>
      </x:c>
      <x:c r="E132" s="30" t="n">
        <x:v>2</x:v>
      </x:c>
      <x:c r="F132" s="30" t="n">
        <x:v>4780</x:v>
      </x:c>
      <x:c r="G132" s="30" t="n">
        <x:v>289</x:v>
      </x:c>
      <x:c r="H132" s="30" t="n">
        <x:v>0</x:v>
      </x:c>
      <x:c r="I132" s="30" t="n">
        <x:v>0</x:v>
      </x:c>
      <x:c r="J132" s="30" t="n">
        <x:v>0</x:v>
      </x:c>
      <x:c r="K132" s="30" t="n">
        <x:v>0</x:v>
      </x:c>
      <x:c r="L132" s="30" t="n">
        <x:v>0</x:v>
      </x:c>
      <x:c r="M132" s="30" t="n">
        <x:v>0</x:v>
      </x:c>
      <x:c r="N132" s="30" t="n">
        <x:v>0</x:v>
      </x:c>
      <x:c r="O132" s="30" t="n">
        <x:v>-1</x:v>
      </x:c>
      <x:c r="P132" s="30" t="n">
        <x:v>0</x:v>
      </x:c>
      <x:c r="Q132" s="30" t="n">
        <x:v>0</x:v>
      </x:c>
      <x:c r="R132" s="30" t="n">
        <x:v>0</x:v>
      </x:c>
      <x:c r="S132" s="30" t="n">
        <x:v>0</x:v>
      </x:c>
      <x:c r="T132" s="30" t="n">
        <x:v>0</x:v>
      </x:c>
      <x:c r="U132" s="30" t="n">
        <x:v>1</x:v>
      </x:c>
      <x:c r="V132" s="30" t="str">
        <x:v>123</x:v>
      </x:c>
    </x:row>
    <x:row r="133">
      <x:c r="A133" s="29" t="str">
        <x:v>20200000</x:v>
      </x:c>
      <x:c r="B133" s="30" t="str">
        <x:v>LX-46 GALACIAN</x:v>
      </x:c>
      <x:c r="C133" s="30" t="str">
        <x:v>Available</x:v>
      </x:c>
      <x:c r="D133" s="30" t="str">
        <x:v>FLARE THROWER - DF-FT-11 FEN-SAN-SHUYI</x:v>
      </x:c>
      <x:c r="E133" s="30" t="n">
        <x:v>2</x:v>
      </x:c>
      <x:c r="F133" s="30" t="n">
        <x:v>2880</x:v>
      </x:c>
      <x:c r="G133" s="30" t="n">
        <x:v>98</x:v>
      </x:c>
      <x:c r="H133" s="30" t="n">
        <x:v>1</x:v>
      </x:c>
      <x:c r="I133" s="30" t="n">
        <x:v>0</x:v>
      </x:c>
      <x:c r="J133" s="30" t="n">
        <x:v>1</x:v>
      </x:c>
      <x:c r="K133" s="30" t="n">
        <x:v>1</x:v>
      </x:c>
      <x:c r="L133" s="30" t="n">
        <x:v>1</x:v>
      </x:c>
      <x:c r="M133" s="30" t="n">
        <x:v>1</x:v>
      </x:c>
      <x:c r="N133" s="30" t="n">
        <x:v>0</x:v>
      </x:c>
      <x:c r="O133" s="30" t="n">
        <x:v>92</x:v>
      </x:c>
      <x:c r="P133" s="30" t="n">
        <x:v>2</x:v>
      </x:c>
      <x:c r="Q133" s="30" t="n">
        <x:v>0</x:v>
      </x:c>
      <x:c r="R133" s="30" t="n">
        <x:v>1</x:v>
      </x:c>
      <x:c r="S133" s="30" t="n">
        <x:v>1</x:v>
      </x:c>
      <x:c r="T133" s="30" t="n">
        <x:v>1</x:v>
      </x:c>
      <x:c r="U133" s="30" t="n">
        <x:v>1</x:v>
      </x:c>
      <x:c r="V133" s="30" t="str">
        <x:v>515</x:v>
      </x:c>
    </x:row>
    <x:row r="134">
      <x:c r="A134" s="29" t="str">
        <x:v>20300000</x:v>
      </x:c>
      <x:c r="B134" s="30" t="str">
        <x:v>LNT-P2_KC-MODEL_17 MUSASHI</x:v>
      </x:c>
      <x:c r="C134" s="30" t="str">
        <x:v>No matching stat row</x:v>
      </x:c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</x:row>
    <x:row r="135">
      <x:c r="A135" s="29" t="str">
        <x:v>25010400</x:v>
      </x:c>
      <x:c r="B135" s="30" t="str">
        <x:v>P-MOD_5 AEGIS</x:v>
      </x:c>
      <x:c r="C135" s="30" t="str">
        <x:v>Available</x:v>
      </x:c>
      <x:c r="D135" s="30" t="str">
        <x:v>PULSE DEFENDER - P-MOD_5 AEGIS</x:v>
      </x:c>
      <x:c r="E135" s="30" t="n">
        <x:v>3</x:v>
      </x:c>
      <x:c r="F135" s="30" t="n">
        <x:v>3890</x:v>
      </x:c>
      <x:c r="G135" s="30" t="n">
        <x:v>315</x:v>
      </x:c>
      <x:c r="H135" s="30" t="n">
        <x:v>0</x:v>
      </x:c>
      <x:c r="I135" s="30" t="n">
        <x:v>0</x:v>
      </x:c>
      <x:c r="J135" s="30" t="n">
        <x:v>0</x:v>
      </x:c>
      <x:c r="K135" s="30" t="n">
        <x:v>0</x:v>
      </x:c>
      <x:c r="L135" s="30" t="n">
        <x:v>0</x:v>
      </x:c>
      <x:c r="M135" s="30" t="n">
        <x:v>0</x:v>
      </x:c>
      <x:c r="N135" s="30" t="n">
        <x:v>0</x:v>
      </x:c>
      <x:c r="O135" s="30" t="n">
        <x:v>-1</x:v>
      </x:c>
      <x:c r="P135" s="30" t="n">
        <x:v>0</x:v>
      </x:c>
      <x:c r="Q135" s="30" t="n">
        <x:v>0</x:v>
      </x:c>
      <x:c r="R135" s="30" t="n">
        <x:v>0</x:v>
      </x:c>
      <x:c r="S135" s="30" t="n">
        <x:v>0</x:v>
      </x:c>
      <x:c r="T135" s="30" t="n">
        <x:v>0</x:v>
      </x:c>
      <x:c r="U135" s="30" t="n">
        <x:v>1</x:v>
      </x:c>
      <x:c r="V135" s="30" t="str">
        <x:v>4921</x:v>
      </x:c>
    </x:row>
    <x:row r="136">
      <x:c r="A136" s="29" t="str">
        <x:v>25030000</x:v>
      </x:c>
      <x:c r="B136" s="30" t="str">
        <x:v>VP-61PD</x:v>
      </x:c>
      <x:c r="C136" s="30" t="str">
        <x:v>Available</x:v>
      </x:c>
      <x:c r="D136" s="30" t="str">
        <x:v>PULSE DEFENDER - VP-61PD</x:v>
      </x:c>
      <x:c r="E136" s="30" t="n">
        <x:v>3</x:v>
      </x:c>
      <x:c r="F136" s="30" t="n">
        <x:v>2240</x:v>
      </x:c>
      <x:c r="G136" s="30" t="n">
        <x:v>390</x:v>
      </x:c>
      <x:c r="H136" s="30" t="n">
        <x:v>0</x:v>
      </x:c>
      <x:c r="I136" s="30" t="n">
        <x:v>0</x:v>
      </x:c>
      <x:c r="J136" s="30" t="n">
        <x:v>0</x:v>
      </x:c>
      <x:c r="K136" s="30" t="n">
        <x:v>0</x:v>
      </x:c>
      <x:c r="L136" s="30" t="n">
        <x:v>0</x:v>
      </x:c>
      <x:c r="M136" s="30" t="n">
        <x:v>0</x:v>
      </x:c>
      <x:c r="N136" s="30" t="n">
        <x:v>0</x:v>
      </x:c>
      <x:c r="O136" s="30" t="n">
        <x:v>-1</x:v>
      </x:c>
      <x:c r="P136" s="30" t="n">
        <x:v>0</x:v>
      </x:c>
      <x:c r="Q136" s="30" t="n">
        <x:v>0</x:v>
      </x:c>
      <x:c r="R136" s="30" t="n">
        <x:v>0</x:v>
      </x:c>
      <x:c r="S136" s="30" t="n">
        <x:v>0</x:v>
      </x:c>
      <x:c r="T136" s="30" t="n">
        <x:v>0</x:v>
      </x:c>
      <x:c r="U136" s="30" t="n">
        <x:v>1</x:v>
      </x:c>
      <x:c r="V136" s="30" t="str">
        <x:v>4914</x:v>
      </x:c>
    </x:row>
    <x:row r="137">
      <x:c r="A137" s="29" t="str">
        <x:v>30010200</x:v>
      </x:c>
      <x:c r="B137" s="30" t="str">
        <x:v>TX-99 PSALM "TEMPEST"</x:v>
      </x:c>
      <x:c r="C137" s="30" t="str">
        <x:v>Available</x:v>
      </x:c>
      <x:c r="D137" s="30" t="str">
        <x:v>NUCLEAR MISSILE LAUNCHER - TX-99 PSALM TEMPEST (Right)</x:v>
      </x:c>
      <x:c r="E137" s="30" t="n">
        <x:v>5</x:v>
      </x:c>
      <x:c r="F137" s="30" t="n">
        <x:v>6100</x:v>
      </x:c>
      <x:c r="G137" s="30" t="n">
        <x:v>515</x:v>
      </x:c>
      <x:c r="H137" s="30" t="n">
        <x:v>1</x:v>
      </x:c>
      <x:c r="I137" s="30" t="n">
        <x:v>0</x:v>
      </x:c>
      <x:c r="J137" s="30" t="n">
        <x:v>1</x:v>
      </x:c>
      <x:c r="K137" s="30" t="n">
        <x:v>1</x:v>
      </x:c>
      <x:c r="L137" s="30" t="n">
        <x:v>1</x:v>
      </x:c>
      <x:c r="M137" s="30" t="n">
        <x:v>1</x:v>
      </x:c>
      <x:c r="N137" s="30" t="n">
        <x:v>0</x:v>
      </x:c>
      <x:c r="O137" s="30" t="n">
        <x:v>2</x:v>
      </x:c>
      <x:c r="P137" s="30" t="n">
        <x:v>10</x:v>
      </x:c>
      <x:c r="Q137" s="30" t="n">
        <x:v>0</x:v>
      </x:c>
      <x:c r="R137" s="30" t="n">
        <x:v>0</x:v>
      </x:c>
      <x:c r="S137" s="30" t="n">
        <x:v>0</x:v>
      </x:c>
      <x:c r="T137" s="30" t="n">
        <x:v>0</x:v>
      </x:c>
      <x:c r="U137" s="30" t="n">
        <x:v>1</x:v>
      </x:c>
      <x:c r="V137" s="30" t="str">
        <x:v>4321</x:v>
      </x:c>
    </x:row>
    <x:row r="138">
      <x:c r="A138" s="29" t="str">
        <x:v>30013000</x:v>
      </x:c>
      <x:c r="B138" s="30" t="str">
        <x:v>FISCHALDER/60F</x:v>
      </x:c>
      <x:c r="C138" s="30" t="str">
        <x:v>Available</x:v>
      </x:c>
      <x:c r="D138" s="30" t="str">
        <x:v>PULSE MISSILE LAUNCHER - FISCHALDER/60F (Right)</x:v>
      </x:c>
      <x:c r="E138" s="30" t="n">
        <x:v>5</x:v>
      </x:c>
      <x:c r="F138" s="30" t="n">
        <x:v>2590</x:v>
      </x:c>
      <x:c r="G138" s="30" t="n">
        <x:v>245</x:v>
      </x:c>
      <x:c r="H138" s="30" t="n">
        <x:v>1</x:v>
      </x:c>
      <x:c r="I138" s="30" t="n">
        <x:v>0</x:v>
      </x:c>
      <x:c r="J138" s="30" t="n">
        <x:v>1</x:v>
      </x:c>
      <x:c r="K138" s="30" t="n">
        <x:v>1</x:v>
      </x:c>
      <x:c r="L138" s="30" t="n">
        <x:v>1</x:v>
      </x:c>
      <x:c r="M138" s="30" t="n">
        <x:v>1</x:v>
      </x:c>
      <x:c r="N138" s="30" t="n">
        <x:v>0</x:v>
      </x:c>
      <x:c r="O138" s="30" t="n">
        <x:v>202</x:v>
      </x:c>
      <x:c r="P138" s="30" t="n">
        <x:v>2.9</x:v>
      </x:c>
      <x:c r="Q138" s="30" t="n">
        <x:v>0</x:v>
      </x:c>
      <x:c r="R138" s="30" t="n">
        <x:v>0</x:v>
      </x:c>
      <x:c r="S138" s="30" t="n">
        <x:v>0</x:v>
      </x:c>
      <x:c r="T138" s="30" t="n">
        <x:v>0</x:v>
      </x:c>
      <x:c r="U138" s="30" t="n">
        <x:v>1</x:v>
      </x:c>
      <x:c r="V138" s="30" t="str">
        <x:v>4229</x:v>
      </x:c>
    </x:row>
    <x:row r="139">
      <x:c r="A139" s="29" t="str">
        <x:v>30020300</x:v>
      </x:c>
      <x:c r="B139" s="30" t="str">
        <x:v>BML-G3/P18SPL-46</x:v>
      </x:c>
      <x:c r="C139" s="30" t="str">
        <x:v>Available</x:v>
      </x:c>
      <x:c r="D139" s="30" t="str">
        <x:v>SPLIT MISSILE LAUNCHER - BML-G3/P18SPL-46 (Right)</x:v>
      </x:c>
      <x:c r="E139" s="30" t="n">
        <x:v>5</x:v>
      </x:c>
      <x:c r="F139" s="30" t="n">
        <x:v>6740</x:v>
      </x:c>
      <x:c r="G139" s="30" t="n">
        <x:v>465</x:v>
      </x:c>
      <x:c r="H139" s="30" t="n">
        <x:v>1</x:v>
      </x:c>
      <x:c r="I139" s="30" t="n">
        <x:v>1</x:v>
      </x:c>
      <x:c r="J139" s="30" t="n">
        <x:v>1</x:v>
      </x:c>
      <x:c r="K139" s="30" t="n">
        <x:v>1</x:v>
      </x:c>
      <x:c r="L139" s="30" t="n">
        <x:v>1</x:v>
      </x:c>
      <x:c r="M139" s="30" t="n">
        <x:v>1</x:v>
      </x:c>
      <x:c r="N139" s="30" t="n">
        <x:v>1</x:v>
      </x:c>
      <x:c r="O139" s="30" t="n">
        <x:v>44</x:v>
      </x:c>
      <x:c r="P139" s="30" t="n">
        <x:v>8.2</x:v>
      </x:c>
      <x:c r="Q139" s="30" t="n">
        <x:v>0</x:v>
      </x:c>
      <x:c r="R139" s="30" t="n">
        <x:v>0</x:v>
      </x:c>
      <x:c r="S139" s="30" t="n">
        <x:v>0</x:v>
      </x:c>
      <x:c r="T139" s="30" t="n">
        <x:v>0</x:v>
      </x:c>
      <x:c r="U139" s="30" t="n">
        <x:v>1</x:v>
      </x:c>
      <x:c r="V139" s="30" t="str">
        <x:v>4200</x:v>
      </x:c>
    </x:row>
    <x:row r="140">
      <x:c r="A140" s="29" t="str">
        <x:v>30020400</x:v>
      </x:c>
      <x:c r="B140" s="30" t="str">
        <x:v>MX-47 CHRONICLE</x:v>
      </x:c>
      <x:c r="C140" s="30" t="str">
        <x:v>Available</x:v>
      </x:c>
      <x:c r="D140" s="30" t="str">
        <x:v>BALLISTIC MISSILE LAUNCHER - MX-47 CHRONICLE (Right)</x:v>
      </x:c>
      <x:c r="E140" s="30" t="n">
        <x:v>5</x:v>
      </x:c>
      <x:c r="F140" s="30" t="n">
        <x:v>4180</x:v>
      </x:c>
      <x:c r="G140" s="30" t="n">
        <x:v>398</x:v>
      </x:c>
      <x:c r="H140" s="30" t="n">
        <x:v>0</x:v>
      </x:c>
      <x:c r="I140" s="30" t="n">
        <x:v>0</x:v>
      </x:c>
      <x:c r="J140" s="30" t="n">
        <x:v>0</x:v>
      </x:c>
      <x:c r="K140" s="30" t="n">
        <x:v>0</x:v>
      </x:c>
      <x:c r="L140" s="30" t="n">
        <x:v>0</x:v>
      </x:c>
      <x:c r="M140" s="30" t="n">
        <x:v>0</x:v>
      </x:c>
      <x:c r="N140" s="30" t="n">
        <x:v>0</x:v>
      </x:c>
      <x:c r="O140" s="30" t="n">
        <x:v>93</x:v>
      </x:c>
      <x:c r="P140" s="30" t="n">
        <x:v>6.2</x:v>
      </x:c>
      <x:c r="Q140" s="30" t="n">
        <x:v>0</x:v>
      </x:c>
      <x:c r="R140" s="30" t="n">
        <x:v>1</x:v>
      </x:c>
      <x:c r="S140" s="30" t="n">
        <x:v>1</x:v>
      </x:c>
      <x:c r="T140" s="30" t="n">
        <x:v>1</x:v>
      </x:c>
      <x:c r="U140" s="30" t="n">
        <x:v>1</x:v>
      </x:c>
      <x:c r="V140" s="30" t="str">
        <x:v>4293</x:v>
      </x:c>
    </x:row>
    <x:row r="141">
      <x:c r="A141" s="29" t="str">
        <x:v>30040300</x:v>
      </x:c>
      <x:c r="B141" s="30" t="str">
        <x:v>MX-01 KING</x:v>
      </x:c>
      <x:c r="C141" s="30" t="str">
        <x:v>Available</x:v>
      </x:c>
      <x:c r="D141" s="30" t="str">
        <x:v>VERTICAL CLUSTER BOMB - BML-G3/P44VCB (Right)</x:v>
      </x:c>
      <x:c r="E141" s="30" t="n">
        <x:v>5</x:v>
      </x:c>
      <x:c r="F141" s="30" t="n">
        <x:v>2520</x:v>
      </x:c>
      <x:c r="G141" s="30" t="n">
        <x:v>269</x:v>
      </x:c>
      <x:c r="H141" s="30" t="n">
        <x:v>3</x:v>
      </x:c>
      <x:c r="I141" s="30" t="n">
        <x:v>3</x:v>
      </x:c>
      <x:c r="J141" s="30" t="n">
        <x:v>3</x:v>
      </x:c>
      <x:c r="K141" s="30" t="n">
        <x:v>3</x:v>
      </x:c>
      <x:c r="L141" s="30" t="n">
        <x:v>3</x:v>
      </x:c>
      <x:c r="M141" s="30" t="n">
        <x:v>3</x:v>
      </x:c>
      <x:c r="N141" s="30" t="n">
        <x:v>1</x:v>
      </x:c>
      <x:c r="O141" s="30" t="n">
        <x:v>38</x:v>
      </x:c>
      <x:c r="P141" s="30" t="n">
        <x:v>5.5</x:v>
      </x:c>
      <x:c r="Q141" s="30" t="n">
        <x:v>0</x:v>
      </x:c>
      <x:c r="R141" s="30" t="n">
        <x:v>0</x:v>
      </x:c>
      <x:c r="S141" s="30" t="n">
        <x:v>0</x:v>
      </x:c>
      <x:c r="T141" s="30" t="n">
        <x:v>0</x:v>
      </x:c>
      <x:c r="U141" s="30" t="n">
        <x:v>1</x:v>
      </x:c>
      <x:c r="V141" s="30" t="str">
        <x:v>4255</x:v>
      </x:c>
    </x:row>
    <x:row r="142">
      <x:c r="A142" s="29" t="str">
        <x:v>30040400</x:v>
      </x:c>
      <x:c r="B142" s="30" t="str">
        <x:v>MX-16 JUDGE</x:v>
      </x:c>
      <x:c r="C142" s="30" t="str">
        <x:v>Available</x:v>
      </x:c>
      <x:c r="D142" s="30" t="str">
        <x:v>VERTICAL HELLFIRE MISSILES - BML-G3/P11VHF-12 (Right)</x:v>
      </x:c>
      <x:c r="E142" s="30" t="n">
        <x:v>5</x:v>
      </x:c>
      <x:c r="F142" s="30" t="n">
        <x:v>5220</x:v>
      </x:c>
      <x:c r="G142" s="30" t="n">
        <x:v>585</x:v>
      </x:c>
      <x:c r="H142" s="30" t="n">
        <x:v>2</x:v>
      </x:c>
      <x:c r="I142" s="30" t="n">
        <x:v>0</x:v>
      </x:c>
      <x:c r="J142" s="30" t="n">
        <x:v>1</x:v>
      </x:c>
      <x:c r="K142" s="30" t="n">
        <x:v>1</x:v>
      </x:c>
      <x:c r="L142" s="30" t="n">
        <x:v>1</x:v>
      </x:c>
      <x:c r="M142" s="30" t="n">
        <x:v>1</x:v>
      </x:c>
      <x:c r="N142" s="30" t="n">
        <x:v>1</x:v>
      </x:c>
      <x:c r="O142" s="30" t="n">
        <x:v>252</x:v>
      </x:c>
      <x:c r="P142" s="30" t="n">
        <x:v>12.05</x:v>
      </x:c>
      <x:c r="Q142" s="30" t="n">
        <x:v>0</x:v>
      </x:c>
      <x:c r="R142" s="30" t="n">
        <x:v>0</x:v>
      </x:c>
      <x:c r="S142" s="30" t="n">
        <x:v>0</x:v>
      </x:c>
      <x:c r="T142" s="30" t="n">
        <x:v>0</x:v>
      </x:c>
      <x:c r="U142" s="30" t="n">
        <x:v>1</x:v>
      </x:c>
      <x:c r="V142" s="30" t="str">
        <x:v>4253</x:v>
      </x:c>
    </x:row>
    <x:row r="143">
      <x:c r="A143" s="29" t="str">
        <x:v>30080300</x:v>
      </x:c>
      <x:c r="B143" s="30" t="str">
        <x:v>BML-G1/P44INT-10</x:v>
      </x:c>
      <x:c r="C143" s="30" t="str">
        <x:v>Available</x:v>
      </x:c>
      <x:c r="D143" s="30" t="str">
        <x:v>INTERCEPTOR MISSILE LAUNCHER - BML-G1/P44INT-10 (Right)</x:v>
      </x:c>
      <x:c r="E143" s="30" t="n">
        <x:v>5</x:v>
      </x:c>
      <x:c r="F143" s="30" t="n">
        <x:v>3010</x:v>
      </x:c>
      <x:c r="G143" s="30" t="n">
        <x:v>301</x:v>
      </x:c>
      <x:c r="H143" s="30" t="n">
        <x:v>0</x:v>
      </x:c>
      <x:c r="I143" s="30" t="n">
        <x:v>0</x:v>
      </x:c>
      <x:c r="J143" s="30" t="n">
        <x:v>0</x:v>
      </x:c>
      <x:c r="K143" s="30" t="n">
        <x:v>0</x:v>
      </x:c>
      <x:c r="L143" s="30" t="n">
        <x:v>0</x:v>
      </x:c>
      <x:c r="M143" s="30" t="n">
        <x:v>0</x:v>
      </x:c>
      <x:c r="N143" s="30" t="n">
        <x:v>0</x:v>
      </x:c>
      <x:c r="O143" s="30" t="n">
        <x:v>340</x:v>
      </x:c>
      <x:c r="P143" s="30" t="n">
        <x:v>6.1</x:v>
      </x:c>
      <x:c r="Q143" s="30" t="n">
        <x:v>0</x:v>
      </x:c>
      <x:c r="R143" s="30" t="n">
        <x:v>0</x:v>
      </x:c>
      <x:c r="S143" s="30" t="n">
        <x:v>0</x:v>
      </x:c>
      <x:c r="T143" s="30" t="n">
        <x:v>0</x:v>
      </x:c>
      <x:c r="U143" s="30" t="n">
        <x:v>1</x:v>
      </x:c>
      <x:c r="V143" s="30" t="str">
        <x:v>4300</x:v>
      </x:c>
    </x:row>
    <x:row r="144">
      <x:c r="A144" s="29" t="str">
        <x:v>30150000</x:v>
      </x:c>
      <x:c r="B144" s="30" t="str">
        <x:v>EL-PW-04 TORMENTA</x:v>
      </x:c>
      <x:c r="C144" s="30" t="str">
        <x:v>Available</x:v>
      </x:c>
      <x:c r="D144" s="30" t="str">
        <x:v>STUN MISSILE LAUNCHER - EL-PW-04 TORMENTA (Right)</x:v>
      </x:c>
      <x:c r="E144" s="30" t="n">
        <x:v>5</x:v>
      </x:c>
      <x:c r="F144" s="30" t="n">
        <x:v>3010</x:v>
      </x:c>
      <x:c r="G144" s="30" t="n">
        <x:v>470</x:v>
      </x:c>
      <x:c r="H144" s="30" t="n">
        <x:v>0</x:v>
      </x:c>
      <x:c r="I144" s="30" t="n">
        <x:v>0</x:v>
      </x:c>
      <x:c r="J144" s="30" t="n">
        <x:v>0</x:v>
      </x:c>
      <x:c r="K144" s="30" t="n">
        <x:v>0</x:v>
      </x:c>
      <x:c r="L144" s="30" t="n">
        <x:v>0</x:v>
      </x:c>
      <x:c r="M144" s="30" t="n">
        <x:v>0</x:v>
      </x:c>
      <x:c r="N144" s="30" t="n">
        <x:v>0</x:v>
      </x:c>
      <x:c r="O144" s="30" t="n">
        <x:v>68</x:v>
      </x:c>
      <x:c r="P144" s="30" t="n">
        <x:v>4</x:v>
      </x:c>
      <x:c r="Q144" s="30" t="n">
        <x:v>0</x:v>
      </x:c>
      <x:c r="R144" s="30" t="n">
        <x:v>0</x:v>
      </x:c>
      <x:c r="S144" s="30" t="n">
        <x:v>0</x:v>
      </x:c>
      <x:c r="T144" s="30" t="n">
        <x:v>0</x:v>
      </x:c>
      <x:c r="U144" s="30" t="n">
        <x:v>1</x:v>
      </x:c>
      <x:c r="V144" s="30" t="str">
        <x:v>4335</x:v>
      </x:c>
    </x:row>
    <x:row r="145">
      <x:c r="A145" s="29" t="str">
        <x:v>30150200</x:v>
      </x:c>
      <x:c r="B145" s="30" t="str">
        <x:v>RT-699 FABRE</x:v>
      </x:c>
      <x:c r="C145" s="30" t="str">
        <x:v>Available</x:v>
      </x:c>
      <x:c r="D145" s="30" t="str">
        <x:v>ROCKET TURRET - RT-699 FABRE (Right)</x:v>
      </x:c>
      <x:c r="E145" s="30" t="n">
        <x:v>5</x:v>
      </x:c>
      <x:c r="F145" s="30" t="n">
        <x:v>3000</x:v>
      </x:c>
      <x:c r="G145" s="30" t="n">
        <x:v>490</x:v>
      </x:c>
      <x:c r="H145" s="30" t="n">
        <x:v>4</x:v>
      </x:c>
      <x:c r="I145" s="30" t="n">
        <x:v>4</x:v>
      </x:c>
      <x:c r="J145" s="30" t="n">
        <x:v>4</x:v>
      </x:c>
      <x:c r="K145" s="30" t="n">
        <x:v>4</x:v>
      </x:c>
      <x:c r="L145" s="30" t="n">
        <x:v>4</x:v>
      </x:c>
      <x:c r="M145" s="30" t="n">
        <x:v>4</x:v>
      </x:c>
      <x:c r="N145" s="30" t="n">
        <x:v>0</x:v>
      </x:c>
      <x:c r="O145" s="30" t="n">
        <x:v>44</x:v>
      </x:c>
      <x:c r="P145" s="30" t="n">
        <x:v>5.7</x:v>
      </x:c>
      <x:c r="Q145" s="30" t="n">
        <x:v>0</x:v>
      </x:c>
      <x:c r="R145" s="30" t="n">
        <x:v>0</x:v>
      </x:c>
      <x:c r="S145" s="30" t="n">
        <x:v>0</x:v>
      </x:c>
      <x:c r="T145" s="30" t="n">
        <x:v>0</x:v>
      </x:c>
      <x:c r="U145" s="30" t="n">
        <x:v>1</x:v>
      </x:c>
      <x:c r="V145" s="30" t="str">
        <x:v>5830</x:v>
      </x:c>
    </x:row>
    <x:row r="146">
      <x:c r="A146" s="29" t="str">
        <x:v>30150300</x:v>
      </x:c>
      <x:c r="B146" s="30" t="str">
        <x:v>CRAZ-E-T-04-RT "MANYPUNK"</x:v>
      </x:c>
      <x:c r="C146" s="30" t="str">
        <x:v>Available</x:v>
      </x:c>
      <x:c r="D146" s="30" t="str">
        <x:v>FLAME TURRET - CRAZ-E-T-04-RT MANYPUNK (Right)</x:v>
      </x:c>
      <x:c r="E146" s="30" t="n">
        <x:v>5</x:v>
      </x:c>
      <x:c r="F146" s="30" t="n">
        <x:v>3140</x:v>
      </x:c>
      <x:c r="G146" s="30" t="n">
        <x:v>420</x:v>
      </x:c>
      <x:c r="H146" s="30" t="n">
        <x:v>4</x:v>
      </x:c>
      <x:c r="I146" s="30" t="n">
        <x:v>4</x:v>
      </x:c>
      <x:c r="J146" s="30" t="n">
        <x:v>4</x:v>
      </x:c>
      <x:c r="K146" s="30" t="n">
        <x:v>4</x:v>
      </x:c>
      <x:c r="L146" s="30" t="n">
        <x:v>4</x:v>
      </x:c>
      <x:c r="M146" s="30" t="n">
        <x:v>4</x:v>
      </x:c>
      <x:c r="N146" s="30" t="n">
        <x:v>0</x:v>
      </x:c>
      <x:c r="O146" s="30" t="n">
        <x:v>58</x:v>
      </x:c>
      <x:c r="P146" s="30" t="n">
        <x:v>6</x:v>
      </x:c>
      <x:c r="Q146" s="30" t="n">
        <x:v>0</x:v>
      </x:c>
      <x:c r="R146" s="30" t="n">
        <x:v>0</x:v>
      </x:c>
      <x:c r="S146" s="30" t="n">
        <x:v>0</x:v>
      </x:c>
      <x:c r="T146" s="30" t="n">
        <x:v>0</x:v>
      </x:c>
      <x:c r="U146" s="30" t="n">
        <x:v>1</x:v>
      </x:c>
      <x:c r="V146" s="30" t="str">
        <x:v>5828</x:v>
      </x:c>
    </x:row>
    <x:row r="147">
      <x:c r="A147" s="29" t="str">
        <x:v>30150400</x:v>
      </x:c>
      <x:c r="B147" s="30" t="str">
        <x:v>SO-S-277 OGAI</x:v>
      </x:c>
      <x:c r="C147" s="30" t="str">
        <x:v>Available</x:v>
      </x:c>
      <x:c r="D147" s="30" t="str">
        <x:v>SUPPLY SHERPA - SO-S-277 OGAI (Right)</x:v>
      </x:c>
      <x:c r="E147" s="30" t="n">
        <x:v>5</x:v>
      </x:c>
      <x:c r="F147" s="30" t="n">
        <x:v>18250</x:v>
      </x:c>
      <x:c r="G147" s="30" t="n">
        <x:v>1206</x:v>
      </x:c>
      <x:c r="H147" s="30" t="n">
        <x:v>4</x:v>
      </x:c>
      <x:c r="I147" s="30" t="n">
        <x:v>4</x:v>
      </x:c>
      <x:c r="J147" s="30" t="n">
        <x:v>4</x:v>
      </x:c>
      <x:c r="K147" s="30" t="n">
        <x:v>4</x:v>
      </x:c>
      <x:c r="L147" s="30" t="n">
        <x:v>4</x:v>
      </x:c>
      <x:c r="M147" s="30" t="n">
        <x:v>4</x:v>
      </x:c>
      <x:c r="N147" s="30" t="n">
        <x:v>0</x:v>
      </x:c>
      <x:c r="O147" s="30" t="n">
        <x:v>1</x:v>
      </x:c>
      <x:c r="P147" s="30" t="n">
        <x:v>-1</x:v>
      </x:c>
      <x:c r="Q147" s="30" t="n">
        <x:v>0</x:v>
      </x:c>
      <x:c r="R147" s="30" t="n">
        <x:v>0</x:v>
      </x:c>
      <x:c r="S147" s="30" t="n">
        <x:v>0</x:v>
      </x:c>
      <x:c r="T147" s="30" t="n">
        <x:v>0</x:v>
      </x:c>
      <x:c r="U147" s="30" t="n">
        <x:v>1</x:v>
      </x:c>
      <x:c r="V147" s="30" t="str">
        <x:v>5820</x:v>
      </x:c>
    </x:row>
    <x:row r="148">
      <x:c r="A148" s="29" t="str">
        <x:v>30220200</x:v>
      </x:c>
      <x:c r="B148" s="30" t="str">
        <x:v>WV2M22 VRITRA</x:v>
      </x:c>
      <x:c r="C148" s="30" t="str">
        <x:v>Available</x:v>
      </x:c>
      <x:c r="D148" s="30" t="str">
        <x:v>NOVA CANNON - WV2M22 VRITRA (Right)</x:v>
      </x:c>
      <x:c r="E148" s="30" t="n">
        <x:v>5</x:v>
      </x:c>
      <x:c r="F148" s="30" t="n">
        <x:v>7310</x:v>
      </x:c>
      <x:c r="G148" s="30" t="n">
        <x:v>833</x:v>
      </x:c>
      <x:c r="H148" s="30" t="n">
        <x:v>1</x:v>
      </x:c>
      <x:c r="I148" s="30" t="n">
        <x:v>1</x:v>
      </x:c>
      <x:c r="J148" s="30" t="n">
        <x:v>1</x:v>
      </x:c>
      <x:c r="K148" s="30" t="n">
        <x:v>1</x:v>
      </x:c>
      <x:c r="L148" s="30" t="n">
        <x:v>1</x:v>
      </x:c>
      <x:c r="M148" s="30" t="n">
        <x:v>1</x:v>
      </x:c>
      <x:c r="N148" s="30" t="n">
        <x:v>0</x:v>
      </x:c>
      <x:c r="O148" s="30" t="n">
        <x:v>44</x:v>
      </x:c>
      <x:c r="P148" s="30" t="n">
        <x:v>0</x:v>
      </x:c>
      <x:c r="Q148" s="30" t="n">
        <x:v>0</x:v>
      </x:c>
      <x:c r="R148" s="30" t="n">
        <x:v>1</x:v>
      </x:c>
      <x:c r="S148" s="30" t="n">
        <x:v>1</x:v>
      </x:c>
      <x:c r="T148" s="30" t="n">
        <x:v>1</x:v>
      </x:c>
      <x:c r="U148" s="30" t="n">
        <x:v>1</x:v>
      </x:c>
      <x:c r="V148" s="30" t="str">
        <x:v>4777</x:v>
      </x:c>
    </x:row>
    <x:row r="149">
      <x:c r="A149" s="29" t="str">
        <x:v>30230100</x:v>
      </x:c>
      <x:c r="B149" s="30" t="str">
        <x:v>C-MOD_6 ARCUS</x:v>
      </x:c>
      <x:c r="C149" s="30" t="str">
        <x:v>Available</x:v>
      </x:c>
      <x:c r="D149" s="30" t="str">
        <x:v>PLASMA CANNON - C-MOD_6 ARCUS (Right)</x:v>
      </x:c>
      <x:c r="E149" s="30" t="n">
        <x:v>5</x:v>
      </x:c>
      <x:c r="F149" s="30" t="n">
        <x:v>7590</x:v>
      </x:c>
      <x:c r="G149" s="30" t="n">
        <x:v>911</x:v>
      </x:c>
      <x:c r="H149" s="30" t="n">
        <x:v>1</x:v>
      </x:c>
      <x:c r="I149" s="30" t="n">
        <x:v>1</x:v>
      </x:c>
      <x:c r="J149" s="30" t="n">
        <x:v>1</x:v>
      </x:c>
      <x:c r="K149" s="30" t="n">
        <x:v>1</x:v>
      </x:c>
      <x:c r="L149" s="30" t="n">
        <x:v>1</x:v>
      </x:c>
      <x:c r="M149" s="30" t="n">
        <x:v>1</x:v>
      </x:c>
      <x:c r="N149" s="30" t="n">
        <x:v>0</x:v>
      </x:c>
      <x:c r="O149" s="30" t="n">
        <x:v>28</x:v>
      </x:c>
      <x:c r="P149" s="30" t="n">
        <x:v>0</x:v>
      </x:c>
      <x:c r="Q149" s="30" t="n">
        <x:v>0</x:v>
      </x:c>
      <x:c r="R149" s="30" t="n">
        <x:v>1</x:v>
      </x:c>
      <x:c r="S149" s="30" t="n">
        <x:v>1</x:v>
      </x:c>
      <x:c r="T149" s="30" t="n">
        <x:v>1</x:v>
      </x:c>
      <x:c r="U149" s="30" t="n">
        <x:v>1</x:v>
      </x:c>
      <x:c r="V149" s="30" t="str">
        <x:v>4511</x:v>
      </x:c>
    </x:row>
    <x:row r="150">
      <x:c r="A150" s="29" t="str">
        <x:v>30230200</x:v>
      </x:c>
      <x:c r="B150" s="30" t="str">
        <x:v>C-MOD_7 LABRYS</x:v>
      </x:c>
      <x:c r="C150" s="30" t="str">
        <x:v>No matching stat row</x:v>
      </x:c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</x:row>
    <x:row r="151">
      <x:c r="A151" s="29" t="str">
        <x:v>30240100</x:v>
      </x:c>
      <x:c r="B151" s="30" t="str">
        <x:v>AWB01/H: RECLUSE PSC</x:v>
      </x:c>
      <x:c r="C151" s="30" t="str">
        <x:v>Available</x:v>
      </x:c>
      <x:c r="D151" s="30" t="str">
        <x:v>PULSE CANNON - HC Pulse Guns (Right)</x:v>
      </x:c>
      <x:c r="E151" s="30" t="n">
        <x:v>5</x:v>
      </x:c>
      <x:c r="F151" s="30" t="n">
        <x:v>1950</x:v>
      </x:c>
      <x:c r="G151" s="30" t="n">
        <x:v>430</x:v>
      </x:c>
      <x:c r="H151" s="30" t="n">
        <x:v>0</x:v>
      </x:c>
      <x:c r="I151" s="30" t="n">
        <x:v>0</x:v>
      </x:c>
      <x:c r="J151" s="30" t="n">
        <x:v>0</x:v>
      </x:c>
      <x:c r="K151" s="30" t="n">
        <x:v>0</x:v>
      </x:c>
      <x:c r="L151" s="30" t="n">
        <x:v>0</x:v>
      </x:c>
      <x:c r="M151" s="30" t="n">
        <x:v>0</x:v>
      </x:c>
      <x:c r="N151" s="30" t="n">
        <x:v>0</x:v>
      </x:c>
      <x:c r="O151" s="30" t="n">
        <x:v>400</x:v>
      </x:c>
      <x:c r="P151" s="30" t="n">
        <x:v>0</x:v>
      </x:c>
      <x:c r="Q151" s="30" t="n">
        <x:v>0</x:v>
      </x:c>
      <x:c r="R151" s="30" t="n">
        <x:v>0</x:v>
      </x:c>
      <x:c r="S151" s="30" t="n">
        <x:v>0</x:v>
      </x:c>
      <x:c r="T151" s="30" t="n">
        <x:v>0</x:v>
      </x:c>
      <x:c r="U151" s="30" t="n">
        <x:v>1</x:v>
      </x:c>
      <x:c r="V151" s="30" t="str">
        <x:v>4840</x:v>
      </x:c>
    </x:row>
    <x:row r="152">
      <x:c r="A152" s="29" t="str">
        <x:v>30240200</x:v>
      </x:c>
      <x:c r="B152" s="30" t="str">
        <x:v>VP-60LCF</x:v>
      </x:c>
      <x:c r="C152" s="30" t="str">
        <x:v>Available</x:v>
      </x:c>
      <x:c r="D152" s="30" t="str">
        <x:v>FAST LASER CANNON - VP-60LCF (Right)</x:v>
      </x:c>
      <x:c r="E152" s="30" t="n">
        <x:v>5</x:v>
      </x:c>
      <x:c r="F152" s="30" t="n">
        <x:v>2340</x:v>
      </x:c>
      <x:c r="G152" s="30" t="n">
        <x:v>400</x:v>
      </x:c>
      <x:c r="H152" s="30" t="n">
        <x:v>0</x:v>
      </x:c>
      <x:c r="I152" s="30" t="n">
        <x:v>0</x:v>
      </x:c>
      <x:c r="J152" s="30" t="n">
        <x:v>0</x:v>
      </x:c>
      <x:c r="K152" s="30" t="n">
        <x:v>0</x:v>
      </x:c>
      <x:c r="L152" s="30" t="n">
        <x:v>0</x:v>
      </x:c>
      <x:c r="M152" s="30" t="n">
        <x:v>0</x:v>
      </x:c>
      <x:c r="N152" s="30" t="n">
        <x:v>0</x:v>
      </x:c>
      <x:c r="O152" s="30" t="n">
        <x:v>145</x:v>
      </x:c>
      <x:c r="P152" s="30" t="n">
        <x:v>0</x:v>
      </x:c>
      <x:c r="Q152" s="30" t="n">
        <x:v>0</x:v>
      </x:c>
      <x:c r="R152" s="30" t="n">
        <x:v>0</x:v>
      </x:c>
      <x:c r="S152" s="30" t="n">
        <x:v>0</x:v>
      </x:c>
      <x:c r="T152" s="30" t="n">
        <x:v>0</x:v>
      </x:c>
      <x:c r="U152" s="30" t="n">
        <x:v>1</x:v>
      </x:c>
      <x:c r="V152" s="30" t="str">
        <x:v>4611</x:v>
      </x:c>
    </x:row>
    <x:row r="153">
      <x:c r="A153" s="29" t="str">
        <x:v>30250200</x:v>
      </x:c>
      <x:c r="B153" s="30" t="str">
        <x:v>LC-040 LINNAEUS</x:v>
      </x:c>
      <x:c r="C153" s="30" t="str">
        <x:v>Available</x:v>
      </x:c>
      <x:c r="D153" s="30" t="str">
        <x:v>LINEAR CANNON - LC-040 LINNAEUS (Right)</x:v>
      </x:c>
      <x:c r="E153" s="30" t="n">
        <x:v>5</x:v>
      </x:c>
      <x:c r="F153" s="30" t="n">
        <x:v>6820</x:v>
      </x:c>
      <x:c r="G153" s="30" t="n">
        <x:v>515</x:v>
      </x:c>
      <x:c r="H153" s="30" t="n">
        <x:v>0</x:v>
      </x:c>
      <x:c r="I153" s="30" t="n">
        <x:v>0</x:v>
      </x:c>
      <x:c r="J153" s="30" t="n">
        <x:v>0</x:v>
      </x:c>
      <x:c r="K153" s="30" t="n">
        <x:v>0</x:v>
      </x:c>
      <x:c r="L153" s="30" t="n">
        <x:v>0</x:v>
      </x:c>
      <x:c r="M153" s="30" t="n">
        <x:v>0</x:v>
      </x:c>
      <x:c r="N153" s="30" t="n">
        <x:v>0</x:v>
      </x:c>
      <x:c r="O153" s="30" t="n">
        <x:v>28</x:v>
      </x:c>
      <x:c r="P153" s="30" t="n">
        <x:v>0</x:v>
      </x:c>
      <x:c r="Q153" s="30" t="n">
        <x:v>0</x:v>
      </x:c>
      <x:c r="R153" s="30" t="n">
        <x:v>0</x:v>
      </x:c>
      <x:c r="S153" s="30" t="n">
        <x:v>0</x:v>
      </x:c>
      <x:c r="T153" s="30" t="n">
        <x:v>0</x:v>
      </x:c>
      <x:c r="U153" s="30" t="n">
        <x:v>1</x:v>
      </x:c>
      <x:c r="V153" s="30" t="str">
        <x:v>4120</x:v>
      </x:c>
    </x:row>
    <x:row r="154">
      <x:c r="A154" s="29" t="str">
        <x:v>30250300</x:v>
      </x:c>
      <x:c r="B154" s="30" t="str">
        <x:v>CX-09 PROVERB</x:v>
      </x:c>
      <x:c r="C154" s="30" t="str">
        <x:v>Available</x:v>
      </x:c>
      <x:c r="D154" s="30" t="str">
        <x:v>KINETIC CANNON - CX-09 PROVERB (Right)</x:v>
      </x:c>
      <x:c r="E154" s="30" t="n">
        <x:v>5</x:v>
      </x:c>
      <x:c r="F154" s="30" t="n">
        <x:v>5220</x:v>
      </x:c>
      <x:c r="G154" s="30" t="n">
        <x:v>210</x:v>
      </x:c>
      <x:c r="H154" s="30" t="n">
        <x:v>0</x:v>
      </x:c>
      <x:c r="I154" s="30" t="n">
        <x:v>0</x:v>
      </x:c>
      <x:c r="J154" s="30" t="n">
        <x:v>0</x:v>
      </x:c>
      <x:c r="K154" s="30" t="n">
        <x:v>0</x:v>
      </x:c>
      <x:c r="L154" s="30" t="n">
        <x:v>0</x:v>
      </x:c>
      <x:c r="M154" s="30" t="n">
        <x:v>0</x:v>
      </x:c>
      <x:c r="N154" s="30" t="n">
        <x:v>0</x:v>
      </x:c>
      <x:c r="O154" s="30" t="n">
        <x:v>34</x:v>
      </x:c>
      <x:c r="P154" s="30" t="n">
        <x:v>0</x:v>
      </x:c>
      <x:c r="Q154" s="30" t="n">
        <x:v>0</x:v>
      </x:c>
      <x:c r="R154" s="30" t="n">
        <x:v>1</x:v>
      </x:c>
      <x:c r="S154" s="30" t="n">
        <x:v>1</x:v>
      </x:c>
      <x:c r="T154" s="30" t="n">
        <x:v>1</x:v>
      </x:c>
      <x:c r="U154" s="30" t="n">
        <x:v>1</x:v>
      </x:c>
      <x:c r="V154" s="30" t="str">
        <x:v>4646</x:v>
      </x:c>
    </x:row>
    <x:row r="155">
      <x:c r="A155" s="29" t="str">
        <x:v>30250400</x:v>
      </x:c>
      <x:c r="B155" s="30" t="str">
        <x:v>IB-C03W7: CLA 900</x:v>
      </x:c>
      <x:c r="C155" s="30" t="str">
        <x:v>Available</x:v>
      </x:c>
      <x:c r="D155" s="30" t="str">
        <x:v>CORAL CANNON - IB-C03W7: CLA 900 (Right)</x:v>
      </x:c>
      <x:c r="E155" s="30" t="n">
        <x:v>5</x:v>
      </x:c>
      <x:c r="F155" s="30" t="n">
        <x:v>7100</x:v>
      </x:c>
      <x:c r="G155" s="30" t="n">
        <x:v>714</x:v>
      </x:c>
      <x:c r="H155" s="30" t="n">
        <x:v>0</x:v>
      </x:c>
      <x:c r="I155" s="30" t="n">
        <x:v>0</x:v>
      </x:c>
      <x:c r="J155" s="30" t="n">
        <x:v>0</x:v>
      </x:c>
      <x:c r="K155" s="30" t="n">
        <x:v>0</x:v>
      </x:c>
      <x:c r="L155" s="30" t="n">
        <x:v>0</x:v>
      </x:c>
      <x:c r="M155" s="30" t="n">
        <x:v>0</x:v>
      </x:c>
      <x:c r="N155" s="30" t="n">
        <x:v>0</x:v>
      </x:c>
      <x:c r="O155" s="30" t="n">
        <x:v>20</x:v>
      </x:c>
      <x:c r="P155" s="30" t="n">
        <x:v>0</x:v>
      </x:c>
      <x:c r="Q155" s="30" t="n">
        <x:v>0</x:v>
      </x:c>
      <x:c r="R155" s="30" t="n">
        <x:v>0</x:v>
      </x:c>
      <x:c r="S155" s="30" t="n">
        <x:v>0</x:v>
      </x:c>
      <x:c r="T155" s="30" t="n">
        <x:v>0</x:v>
      </x:c>
      <x:c r="U155" s="30" t="n">
        <x:v>1</x:v>
      </x:c>
      <x:c r="V155" s="30" t="str">
        <x:v>4610</x:v>
      </x:c>
    </x:row>
    <x:row r="156">
      <x:c r="A156" s="29" t="str">
        <x:v>30300200</x:v>
      </x:c>
      <x:c r="B156" s="30" t="str">
        <x:v>IB-C03W5: CLA 007</x:v>
      </x:c>
      <x:c r="C156" s="30" t="str">
        <x:v>Available</x:v>
      </x:c>
      <x:c r="D156" s="30" t="str">
        <x:v>CORAL ORBIT - IB-C03A2: AYR 007 (Right)</x:v>
      </x:c>
      <x:c r="E156" s="30" t="n">
        <x:v>5</x:v>
      </x:c>
      <x:c r="F156" s="30" t="n">
        <x:v>2220</x:v>
      </x:c>
      <x:c r="G156" s="30" t="n">
        <x:v>461</x:v>
      </x:c>
      <x:c r="H156" s="30" t="n">
        <x:v>0</x:v>
      </x:c>
      <x:c r="I156" s="30" t="n">
        <x:v>0</x:v>
      </x:c>
      <x:c r="J156" s="30" t="n">
        <x:v>0</x:v>
      </x:c>
      <x:c r="K156" s="30" t="n">
        <x:v>0</x:v>
      </x:c>
      <x:c r="L156" s="30" t="n">
        <x:v>0</x:v>
      </x:c>
      <x:c r="M156" s="30" t="n">
        <x:v>0</x:v>
      </x:c>
      <x:c r="N156" s="30" t="n">
        <x:v>0</x:v>
      </x:c>
      <x:c r="O156" s="30" t="n">
        <x:v>42</x:v>
      </x:c>
      <x:c r="P156" s="30" t="n">
        <x:v>5</x:v>
      </x:c>
      <x:c r="Q156" s="30" t="n">
        <x:v>0</x:v>
      </x:c>
      <x:c r="R156" s="30" t="n">
        <x:v>0</x:v>
      </x:c>
      <x:c r="S156" s="30" t="n">
        <x:v>0</x:v>
      </x:c>
      <x:c r="T156" s="30" t="n">
        <x:v>0</x:v>
      </x:c>
      <x:c r="U156" s="30" t="n">
        <x:v>1</x:v>
      </x:c>
      <x:c r="V156" s="30" t="str">
        <x:v>5725</x:v>
      </x:c>
    </x:row>
    <x:row r="157">
      <x:c r="A157" s="29" t="str">
        <x:v>30401000</x:v>
      </x:c>
      <x:c r="B157" s="30" t="str">
        <x:v>DF-SC-00 FENG-HUANG</x:v>
      </x:c>
      <x:c r="C157" s="30" t="str">
        <x:v>Available</x:v>
      </x:c>
      <x:c r="D157" s="30" t="str">
        <x:v>SIMPLE CANNON - DF-SC-00 FENG-HUANG (Right)</x:v>
      </x:c>
      <x:c r="E157" s="30" t="n">
        <x:v>5</x:v>
      </x:c>
      <x:c r="F157" s="30" t="n">
        <x:v>4310</x:v>
      </x:c>
      <x:c r="G157" s="30" t="n">
        <x:v>366</x:v>
      </x:c>
      <x:c r="H157" s="30" t="n">
        <x:v>0</x:v>
      </x:c>
      <x:c r="I157" s="30" t="n">
        <x:v>0</x:v>
      </x:c>
      <x:c r="J157" s="30" t="n">
        <x:v>0</x:v>
      </x:c>
      <x:c r="K157" s="30" t="n">
        <x:v>0</x:v>
      </x:c>
      <x:c r="L157" s="30" t="n">
        <x:v>0</x:v>
      </x:c>
      <x:c r="M157" s="30" t="n">
        <x:v>0</x:v>
      </x:c>
      <x:c r="N157" s="30" t="n">
        <x:v>0</x:v>
      </x:c>
      <x:c r="O157" s="30" t="n">
        <x:v>245</x:v>
      </x:c>
      <x:c r="P157" s="30" t="n">
        <x:v>4.8</x:v>
      </x:c>
      <x:c r="Q157" s="30" t="n">
        <x:v>0</x:v>
      </x:c>
      <x:c r="R157" s="30" t="n">
        <x:v>0</x:v>
      </x:c>
      <x:c r="S157" s="30" t="n">
        <x:v>0</x:v>
      </x:c>
      <x:c r="T157" s="30" t="n">
        <x:v>0</x:v>
      </x:c>
      <x:c r="U157" s="30" t="n">
        <x:v>1</x:v>
      </x:c>
      <x:c r="V157" s="30" t="str">
        <x:v>5120</x:v>
      </x:c>
    </x:row>
    <x:row r="158">
      <x:c r="A158" s="29" t="str">
        <x:v>30402000</x:v>
      </x:c>
      <x:c r="B158" s="30" t="str">
        <x:v>GX-67 WISDOM</x:v>
      </x:c>
      <x:c r="C158" s="30" t="str">
        <x:v>Available</x:v>
      </x:c>
      <x:c r="D158" s="30" t="str">
        <x:v>DIFFUSION GATLING CANNON - GX-67 WISDOM (Right)</x:v>
      </x:c>
      <x:c r="E158" s="30" t="n">
        <x:v>5</x:v>
      </x:c>
      <x:c r="F158" s="30" t="n">
        <x:v>4190</x:v>
      </x:c>
      <x:c r="G158" s="30" t="n">
        <x:v>499</x:v>
      </x:c>
      <x:c r="H158" s="30" t="n">
        <x:v>0</x:v>
      </x:c>
      <x:c r="I158" s="30" t="n">
        <x:v>0</x:v>
      </x:c>
      <x:c r="J158" s="30" t="n">
        <x:v>0</x:v>
      </x:c>
      <x:c r="K158" s="30" t="n">
        <x:v>0</x:v>
      </x:c>
      <x:c r="L158" s="30" t="n">
        <x:v>0</x:v>
      </x:c>
      <x:c r="M158" s="30" t="n">
        <x:v>0</x:v>
      </x:c>
      <x:c r="N158" s="30" t="n">
        <x:v>0</x:v>
      </x:c>
      <x:c r="O158" s="30" t="n">
        <x:v>1800</x:v>
      </x:c>
      <x:c r="P158" s="30" t="n">
        <x:v>0</x:v>
      </x:c>
      <x:c r="Q158" s="30" t="n">
        <x:v>0</x:v>
      </x:c>
      <x:c r="R158" s="30" t="n">
        <x:v>0</x:v>
      </x:c>
      <x:c r="S158" s="30" t="n">
        <x:v>0</x:v>
      </x:c>
      <x:c r="T158" s="30" t="n">
        <x:v>0</x:v>
      </x:c>
      <x:c r="U158" s="30" t="n">
        <x:v>1</x:v>
      </x:c>
      <x:c r="V158" s="30" t="str">
        <x:v>5199</x:v>
      </x:c>
    </x:row>
    <x:row r="159">
      <x:c r="A159" s="29" t="str">
        <x:v>35010200</x:v>
      </x:c>
      <x:c r="B159" s="30" t="str">
        <x:v>TX-99 PSALM "TEMPEST"</x:v>
      </x:c>
      <x:c r="C159" s="30" t="str">
        <x:v>Available</x:v>
      </x:c>
      <x:c r="D159" s="30" t="str">
        <x:v>NUCLEAR MISSILE LAUNCHER - TX-99 PSALM TEMPEST (Left)</x:v>
      </x:c>
      <x:c r="E159" s="30" t="n">
        <x:v>4</x:v>
      </x:c>
      <x:c r="F159" s="30" t="n">
        <x:v>6100</x:v>
      </x:c>
      <x:c r="G159" s="30" t="n">
        <x:v>515</x:v>
      </x:c>
      <x:c r="H159" s="30" t="n">
        <x:v>1</x:v>
      </x:c>
      <x:c r="I159" s="30" t="n">
        <x:v>0</x:v>
      </x:c>
      <x:c r="J159" s="30" t="n">
        <x:v>1</x:v>
      </x:c>
      <x:c r="K159" s="30" t="n">
        <x:v>1</x:v>
      </x:c>
      <x:c r="L159" s="30" t="n">
        <x:v>1</x:v>
      </x:c>
      <x:c r="M159" s="30" t="n">
        <x:v>1</x:v>
      </x:c>
      <x:c r="N159" s="30" t="n">
        <x:v>0</x:v>
      </x:c>
      <x:c r="O159" s="30" t="n">
        <x:v>2</x:v>
      </x:c>
      <x:c r="P159" s="30" t="n">
        <x:v>10</x:v>
      </x:c>
      <x:c r="Q159" s="30" t="n">
        <x:v>0</x:v>
      </x:c>
      <x:c r="R159" s="30" t="n">
        <x:v>0</x:v>
      </x:c>
      <x:c r="S159" s="30" t="n">
        <x:v>0</x:v>
      </x:c>
      <x:c r="T159" s="30" t="n">
        <x:v>0</x:v>
      </x:c>
      <x:c r="U159" s="30" t="n">
        <x:v>1</x:v>
      </x:c>
      <x:c r="V159" s="30" t="str">
        <x:v>4321</x:v>
      </x:c>
    </x:row>
    <x:row r="160">
      <x:c r="A160" s="29" t="str">
        <x:v>35013000</x:v>
      </x:c>
      <x:c r="B160" s="30" t="str">
        <x:v>FISCHALDER/60F</x:v>
      </x:c>
      <x:c r="C160" s="30" t="str">
        <x:v>Available</x:v>
      </x:c>
      <x:c r="D160" s="30" t="str">
        <x:v>PULSE MISSILE LAUNCHER - FISCHALDER/60F (Left)</x:v>
      </x:c>
      <x:c r="E160" s="30" t="n">
        <x:v>4</x:v>
      </x:c>
      <x:c r="F160" s="30" t="n">
        <x:v>2590</x:v>
      </x:c>
      <x:c r="G160" s="30" t="n">
        <x:v>245</x:v>
      </x:c>
      <x:c r="H160" s="30" t="n">
        <x:v>1</x:v>
      </x:c>
      <x:c r="I160" s="30" t="n">
        <x:v>0</x:v>
      </x:c>
      <x:c r="J160" s="30" t="n">
        <x:v>1</x:v>
      </x:c>
      <x:c r="K160" s="30" t="n">
        <x:v>1</x:v>
      </x:c>
      <x:c r="L160" s="30" t="n">
        <x:v>1</x:v>
      </x:c>
      <x:c r="M160" s="30" t="n">
        <x:v>1</x:v>
      </x:c>
      <x:c r="N160" s="30" t="n">
        <x:v>0</x:v>
      </x:c>
      <x:c r="O160" s="30" t="n">
        <x:v>202</x:v>
      </x:c>
      <x:c r="P160" s="30" t="n">
        <x:v>2.9</x:v>
      </x:c>
      <x:c r="Q160" s="30" t="n">
        <x:v>0</x:v>
      </x:c>
      <x:c r="R160" s="30" t="n">
        <x:v>0</x:v>
      </x:c>
      <x:c r="S160" s="30" t="n">
        <x:v>0</x:v>
      </x:c>
      <x:c r="T160" s="30" t="n">
        <x:v>0</x:v>
      </x:c>
      <x:c r="U160" s="30" t="n">
        <x:v>1</x:v>
      </x:c>
      <x:c r="V160" s="30" t="str">
        <x:v>4229</x:v>
      </x:c>
    </x:row>
    <x:row r="161">
      <x:c r="A161" s="29" t="str">
        <x:v>35020300</x:v>
      </x:c>
      <x:c r="B161" s="30" t="str">
        <x:v>BML-G3/P18SPL-46</x:v>
      </x:c>
      <x:c r="C161" s="30" t="str">
        <x:v>Available</x:v>
      </x:c>
      <x:c r="D161" s="30" t="str">
        <x:v>SPLIT MISSILE LAUNCHER - BML-G3/P18SPL-46 (Left)</x:v>
      </x:c>
      <x:c r="E161" s="30" t="n">
        <x:v>4</x:v>
      </x:c>
      <x:c r="F161" s="30" t="n">
        <x:v>6740</x:v>
      </x:c>
      <x:c r="G161" s="30" t="n">
        <x:v>465</x:v>
      </x:c>
      <x:c r="H161" s="30" t="n">
        <x:v>1</x:v>
      </x:c>
      <x:c r="I161" s="30" t="n">
        <x:v>1</x:v>
      </x:c>
      <x:c r="J161" s="30" t="n">
        <x:v>1</x:v>
      </x:c>
      <x:c r="K161" s="30" t="n">
        <x:v>1</x:v>
      </x:c>
      <x:c r="L161" s="30" t="n">
        <x:v>1</x:v>
      </x:c>
      <x:c r="M161" s="30" t="n">
        <x:v>1</x:v>
      </x:c>
      <x:c r="N161" s="30" t="n">
        <x:v>1</x:v>
      </x:c>
      <x:c r="O161" s="30" t="n">
        <x:v>44</x:v>
      </x:c>
      <x:c r="P161" s="30" t="n">
        <x:v>8.2</x:v>
      </x:c>
      <x:c r="Q161" s="30" t="n">
        <x:v>0</x:v>
      </x:c>
      <x:c r="R161" s="30" t="n">
        <x:v>0</x:v>
      </x:c>
      <x:c r="S161" s="30" t="n">
        <x:v>0</x:v>
      </x:c>
      <x:c r="T161" s="30" t="n">
        <x:v>0</x:v>
      </x:c>
      <x:c r="U161" s="30" t="n">
        <x:v>1</x:v>
      </x:c>
      <x:c r="V161" s="30" t="str">
        <x:v>4200</x:v>
      </x:c>
    </x:row>
    <x:row r="162">
      <x:c r="A162" s="29" t="str">
        <x:v>35020400</x:v>
      </x:c>
      <x:c r="B162" s="30" t="str">
        <x:v>MX-47 CHRONICLE</x:v>
      </x:c>
      <x:c r="C162" s="30" t="str">
        <x:v>Available</x:v>
      </x:c>
      <x:c r="D162" s="30" t="str">
        <x:v>BALLISTIC MISSILE LAUNCHER - MX-47 CHRONICLE (Left)</x:v>
      </x:c>
      <x:c r="E162" s="30" t="n">
        <x:v>4</x:v>
      </x:c>
      <x:c r="F162" s="30" t="n">
        <x:v>4180</x:v>
      </x:c>
      <x:c r="G162" s="30" t="n">
        <x:v>398</x:v>
      </x:c>
      <x:c r="H162" s="30" t="n">
        <x:v>0</x:v>
      </x:c>
      <x:c r="I162" s="30" t="n">
        <x:v>0</x:v>
      </x:c>
      <x:c r="J162" s="30" t="n">
        <x:v>0</x:v>
      </x:c>
      <x:c r="K162" s="30" t="n">
        <x:v>0</x:v>
      </x:c>
      <x:c r="L162" s="30" t="n">
        <x:v>0</x:v>
      </x:c>
      <x:c r="M162" s="30" t="n">
        <x:v>0</x:v>
      </x:c>
      <x:c r="N162" s="30" t="n">
        <x:v>0</x:v>
      </x:c>
      <x:c r="O162" s="30" t="n">
        <x:v>93</x:v>
      </x:c>
      <x:c r="P162" s="30" t="n">
        <x:v>6.2</x:v>
      </x:c>
      <x:c r="Q162" s="30" t="n">
        <x:v>0</x:v>
      </x:c>
      <x:c r="R162" s="30" t="n">
        <x:v>1</x:v>
      </x:c>
      <x:c r="S162" s="30" t="n">
        <x:v>1</x:v>
      </x:c>
      <x:c r="T162" s="30" t="n">
        <x:v>1</x:v>
      </x:c>
      <x:c r="U162" s="30" t="n">
        <x:v>1</x:v>
      </x:c>
      <x:c r="V162" s="30" t="str">
        <x:v>4293</x:v>
      </x:c>
    </x:row>
    <x:row r="163">
      <x:c r="A163" s="29" t="str">
        <x:v>35040300</x:v>
      </x:c>
      <x:c r="B163" s="30" t="str">
        <x:v>MX-01 KING</x:v>
      </x:c>
      <x:c r="C163" s="30" t="str">
        <x:v>Available</x:v>
      </x:c>
      <x:c r="D163" s="30" t="str">
        <x:v>VERTICAL CLUSTER BOMB - BML-G3/P44VCB (Left)</x:v>
      </x:c>
      <x:c r="E163" s="30" t="n">
        <x:v>4</x:v>
      </x:c>
      <x:c r="F163" s="30" t="n">
        <x:v>2520</x:v>
      </x:c>
      <x:c r="G163" s="30" t="n">
        <x:v>269</x:v>
      </x:c>
      <x:c r="H163" s="30" t="n">
        <x:v>3</x:v>
      </x:c>
      <x:c r="I163" s="30" t="n">
        <x:v>3</x:v>
      </x:c>
      <x:c r="J163" s="30" t="n">
        <x:v>3</x:v>
      </x:c>
      <x:c r="K163" s="30" t="n">
        <x:v>3</x:v>
      </x:c>
      <x:c r="L163" s="30" t="n">
        <x:v>3</x:v>
      </x:c>
      <x:c r="M163" s="30" t="n">
        <x:v>3</x:v>
      </x:c>
      <x:c r="N163" s="30" t="n">
        <x:v>1</x:v>
      </x:c>
      <x:c r="O163" s="30" t="n">
        <x:v>38</x:v>
      </x:c>
      <x:c r="P163" s="30" t="n">
        <x:v>5.5</x:v>
      </x:c>
      <x:c r="Q163" s="30" t="n">
        <x:v>0</x:v>
      </x:c>
      <x:c r="R163" s="30" t="n">
        <x:v>0</x:v>
      </x:c>
      <x:c r="S163" s="30" t="n">
        <x:v>0</x:v>
      </x:c>
      <x:c r="T163" s="30" t="n">
        <x:v>0</x:v>
      </x:c>
      <x:c r="U163" s="30" t="n">
        <x:v>1</x:v>
      </x:c>
      <x:c r="V163" s="30" t="str">
        <x:v>4255</x:v>
      </x:c>
    </x:row>
    <x:row r="164">
      <x:c r="A164" s="29" t="str">
        <x:v>35040400</x:v>
      </x:c>
      <x:c r="B164" s="30" t="str">
        <x:v>MX-16 JUDGE</x:v>
      </x:c>
      <x:c r="C164" s="30" t="str">
        <x:v>Available</x:v>
      </x:c>
      <x:c r="D164" s="30" t="str">
        <x:v>VERTICAL HELLFIRE MISSILES - BML-G3/P11VHF-12 (Left)</x:v>
      </x:c>
      <x:c r="E164" s="30" t="n">
        <x:v>4</x:v>
      </x:c>
      <x:c r="F164" s="30" t="n">
        <x:v>5220</x:v>
      </x:c>
      <x:c r="G164" s="30" t="n">
        <x:v>585</x:v>
      </x:c>
      <x:c r="H164" s="30" t="n">
        <x:v>2</x:v>
      </x:c>
      <x:c r="I164" s="30" t="n">
        <x:v>0</x:v>
      </x:c>
      <x:c r="J164" s="30" t="n">
        <x:v>1</x:v>
      </x:c>
      <x:c r="K164" s="30" t="n">
        <x:v>1</x:v>
      </x:c>
      <x:c r="L164" s="30" t="n">
        <x:v>1</x:v>
      </x:c>
      <x:c r="M164" s="30" t="n">
        <x:v>1</x:v>
      </x:c>
      <x:c r="N164" s="30" t="n">
        <x:v>1</x:v>
      </x:c>
      <x:c r="O164" s="30" t="n">
        <x:v>252</x:v>
      </x:c>
      <x:c r="P164" s="30" t="n">
        <x:v>12.05</x:v>
      </x:c>
      <x:c r="Q164" s="30" t="n">
        <x:v>0</x:v>
      </x:c>
      <x:c r="R164" s="30" t="n">
        <x:v>0</x:v>
      </x:c>
      <x:c r="S164" s="30" t="n">
        <x:v>0</x:v>
      </x:c>
      <x:c r="T164" s="30" t="n">
        <x:v>0</x:v>
      </x:c>
      <x:c r="U164" s="30" t="n">
        <x:v>1</x:v>
      </x:c>
      <x:c r="V164" s="30" t="str">
        <x:v>4253</x:v>
      </x:c>
    </x:row>
    <x:row r="165">
      <x:c r="A165" s="29" t="str">
        <x:v>35080300</x:v>
      </x:c>
      <x:c r="B165" s="30" t="str">
        <x:v>BML-G1/P44INT-10</x:v>
      </x:c>
      <x:c r="C165" s="30" t="str">
        <x:v>Available</x:v>
      </x:c>
      <x:c r="D165" s="30" t="str">
        <x:v>INTERCEPTOR MISSILE LAUNCHER - BML-G1/P44INT-10 (Left)</x:v>
      </x:c>
      <x:c r="E165" s="30" t="n">
        <x:v>4</x:v>
      </x:c>
      <x:c r="F165" s="30" t="n">
        <x:v>3010</x:v>
      </x:c>
      <x:c r="G165" s="30" t="n">
        <x:v>301</x:v>
      </x:c>
      <x:c r="H165" s="30" t="n">
        <x:v>0</x:v>
      </x:c>
      <x:c r="I165" s="30" t="n">
        <x:v>0</x:v>
      </x:c>
      <x:c r="J165" s="30" t="n">
        <x:v>0</x:v>
      </x:c>
      <x:c r="K165" s="30" t="n">
        <x:v>0</x:v>
      </x:c>
      <x:c r="L165" s="30" t="n">
        <x:v>0</x:v>
      </x:c>
      <x:c r="M165" s="30" t="n">
        <x:v>0</x:v>
      </x:c>
      <x:c r="N165" s="30" t="n">
        <x:v>0</x:v>
      </x:c>
      <x:c r="O165" s="30" t="n">
        <x:v>340</x:v>
      </x:c>
      <x:c r="P165" s="30" t="n">
        <x:v>6.1</x:v>
      </x:c>
      <x:c r="Q165" s="30" t="n">
        <x:v>0</x:v>
      </x:c>
      <x:c r="R165" s="30" t="n">
        <x:v>0</x:v>
      </x:c>
      <x:c r="S165" s="30" t="n">
        <x:v>0</x:v>
      </x:c>
      <x:c r="T165" s="30" t="n">
        <x:v>0</x:v>
      </x:c>
      <x:c r="U165" s="30" t="n">
        <x:v>1</x:v>
      </x:c>
      <x:c r="V165" s="30" t="str">
        <x:v>4300</x:v>
      </x:c>
    </x:row>
    <x:row r="166">
      <x:c r="A166" s="29" t="str">
        <x:v>35150000</x:v>
      </x:c>
      <x:c r="B166" s="30" t="str">
        <x:v>EL-PW-04 TORMENTA</x:v>
      </x:c>
      <x:c r="C166" s="30" t="str">
        <x:v>Available</x:v>
      </x:c>
      <x:c r="D166" s="30" t="str">
        <x:v>STUN MISSILE LAUNCHER - EL-PW-04 TORMENTA (Left)</x:v>
      </x:c>
      <x:c r="E166" s="30" t="n">
        <x:v>4</x:v>
      </x:c>
      <x:c r="F166" s="30" t="n">
        <x:v>3010</x:v>
      </x:c>
      <x:c r="G166" s="30" t="n">
        <x:v>470</x:v>
      </x:c>
      <x:c r="H166" s="30" t="n">
        <x:v>0</x:v>
      </x:c>
      <x:c r="I166" s="30" t="n">
        <x:v>0</x:v>
      </x:c>
      <x:c r="J166" s="30" t="n">
        <x:v>0</x:v>
      </x:c>
      <x:c r="K166" s="30" t="n">
        <x:v>0</x:v>
      </x:c>
      <x:c r="L166" s="30" t="n">
        <x:v>0</x:v>
      </x:c>
      <x:c r="M166" s="30" t="n">
        <x:v>0</x:v>
      </x:c>
      <x:c r="N166" s="30" t="n">
        <x:v>0</x:v>
      </x:c>
      <x:c r="O166" s="30" t="n">
        <x:v>68</x:v>
      </x:c>
      <x:c r="P166" s="30" t="n">
        <x:v>4</x:v>
      </x:c>
      <x:c r="Q166" s="30" t="n">
        <x:v>0</x:v>
      </x:c>
      <x:c r="R166" s="30" t="n">
        <x:v>0</x:v>
      </x:c>
      <x:c r="S166" s="30" t="n">
        <x:v>0</x:v>
      </x:c>
      <x:c r="T166" s="30" t="n">
        <x:v>0</x:v>
      </x:c>
      <x:c r="U166" s="30" t="n">
        <x:v>1</x:v>
      </x:c>
      <x:c r="V166" s="30" t="str">
        <x:v>4335</x:v>
      </x:c>
    </x:row>
    <x:row r="167">
      <x:c r="A167" s="29" t="str">
        <x:v>35150200</x:v>
      </x:c>
      <x:c r="B167" s="30" t="str">
        <x:v>RT-699 FABRE</x:v>
      </x:c>
      <x:c r="C167" s="30" t="str">
        <x:v>Available</x:v>
      </x:c>
      <x:c r="D167" s="30" t="str">
        <x:v>ROCKET TURRET - RT-699 FABRE (Left)</x:v>
      </x:c>
      <x:c r="E167" s="30" t="n">
        <x:v>4</x:v>
      </x:c>
      <x:c r="F167" s="30" t="n">
        <x:v>3000</x:v>
      </x:c>
      <x:c r="G167" s="30" t="n">
        <x:v>490</x:v>
      </x:c>
      <x:c r="H167" s="30" t="n">
        <x:v>4</x:v>
      </x:c>
      <x:c r="I167" s="30" t="n">
        <x:v>4</x:v>
      </x:c>
      <x:c r="J167" s="30" t="n">
        <x:v>4</x:v>
      </x:c>
      <x:c r="K167" s="30" t="n">
        <x:v>4</x:v>
      </x:c>
      <x:c r="L167" s="30" t="n">
        <x:v>4</x:v>
      </x:c>
      <x:c r="M167" s="30" t="n">
        <x:v>4</x:v>
      </x:c>
      <x:c r="N167" s="30" t="n">
        <x:v>0</x:v>
      </x:c>
      <x:c r="O167" s="30" t="n">
        <x:v>44</x:v>
      </x:c>
      <x:c r="P167" s="30" t="n">
        <x:v>5.7</x:v>
      </x:c>
      <x:c r="Q167" s="30" t="n">
        <x:v>0</x:v>
      </x:c>
      <x:c r="R167" s="30" t="n">
        <x:v>0</x:v>
      </x:c>
      <x:c r="S167" s="30" t="n">
        <x:v>0</x:v>
      </x:c>
      <x:c r="T167" s="30" t="n">
        <x:v>0</x:v>
      </x:c>
      <x:c r="U167" s="30" t="n">
        <x:v>1</x:v>
      </x:c>
      <x:c r="V167" s="30" t="str">
        <x:v>5830</x:v>
      </x:c>
    </x:row>
    <x:row r="168">
      <x:c r="A168" s="29" t="str">
        <x:v>35150300</x:v>
      </x:c>
      <x:c r="B168" s="30" t="str">
        <x:v>CRAZ-E-T-04-RT "MANYPUNK"</x:v>
      </x:c>
      <x:c r="C168" s="30" t="str">
        <x:v>Available</x:v>
      </x:c>
      <x:c r="D168" s="30" t="str">
        <x:v>FLAME TURRET - CRAZ-E-T-04-RT MANYPUNK (Left)</x:v>
      </x:c>
      <x:c r="E168" s="30" t="n">
        <x:v>4</x:v>
      </x:c>
      <x:c r="F168" s="30" t="n">
        <x:v>3140</x:v>
      </x:c>
      <x:c r="G168" s="30" t="n">
        <x:v>420</x:v>
      </x:c>
      <x:c r="H168" s="30" t="n">
        <x:v>4</x:v>
      </x:c>
      <x:c r="I168" s="30" t="n">
        <x:v>4</x:v>
      </x:c>
      <x:c r="J168" s="30" t="n">
        <x:v>4</x:v>
      </x:c>
      <x:c r="K168" s="30" t="n">
        <x:v>4</x:v>
      </x:c>
      <x:c r="L168" s="30" t="n">
        <x:v>4</x:v>
      </x:c>
      <x:c r="M168" s="30" t="n">
        <x:v>4</x:v>
      </x:c>
      <x:c r="N168" s="30" t="n">
        <x:v>0</x:v>
      </x:c>
      <x:c r="O168" s="30" t="n">
        <x:v>58</x:v>
      </x:c>
      <x:c r="P168" s="30" t="n">
        <x:v>6</x:v>
      </x:c>
      <x:c r="Q168" s="30" t="n">
        <x:v>0</x:v>
      </x:c>
      <x:c r="R168" s="30" t="n">
        <x:v>0</x:v>
      </x:c>
      <x:c r="S168" s="30" t="n">
        <x:v>0</x:v>
      </x:c>
      <x:c r="T168" s="30" t="n">
        <x:v>0</x:v>
      </x:c>
      <x:c r="U168" s="30" t="n">
        <x:v>1</x:v>
      </x:c>
      <x:c r="V168" s="30" t="str">
        <x:v>5828</x:v>
      </x:c>
    </x:row>
    <x:row r="169">
      <x:c r="A169" s="29" t="str">
        <x:v>35150400</x:v>
      </x:c>
      <x:c r="B169" s="30" t="str">
        <x:v>SO-S-277 OGAI</x:v>
      </x:c>
      <x:c r="C169" s="30" t="str">
        <x:v>Available</x:v>
      </x:c>
      <x:c r="D169" s="30" t="str">
        <x:v>SUPPLY SHERPA - SO-S-277 OGAI (Left)</x:v>
      </x:c>
      <x:c r="E169" s="30" t="n">
        <x:v>4</x:v>
      </x:c>
      <x:c r="F169" s="30" t="n">
        <x:v>0</x:v>
      </x:c>
      <x:c r="G169" s="30" t="n">
        <x:v>0</x:v>
      </x:c>
      <x:c r="H169" s="30" t="n">
        <x:v>4</x:v>
      </x:c>
      <x:c r="I169" s="30" t="n">
        <x:v>4</x:v>
      </x:c>
      <x:c r="J169" s="30" t="n">
        <x:v>4</x:v>
      </x:c>
      <x:c r="K169" s="30" t="n">
        <x:v>4</x:v>
      </x:c>
      <x:c r="L169" s="30" t="n">
        <x:v>4</x:v>
      </x:c>
      <x:c r="M169" s="30" t="n">
        <x:v>4</x:v>
      </x:c>
      <x:c r="N169" s="30" t="n">
        <x:v>0</x:v>
      </x:c>
      <x:c r="O169" s="30" t="n">
        <x:v>-1</x:v>
      </x:c>
      <x:c r="P169" s="30" t="n">
        <x:v>-1</x:v>
      </x:c>
      <x:c r="Q169" s="30" t="n">
        <x:v>0</x:v>
      </x:c>
      <x:c r="R169" s="30" t="n">
        <x:v>0</x:v>
      </x:c>
      <x:c r="S169" s="30" t="n">
        <x:v>0</x:v>
      </x:c>
      <x:c r="T169" s="30" t="n">
        <x:v>0</x:v>
      </x:c>
      <x:c r="U169" s="30" t="n">
        <x:v>1</x:v>
      </x:c>
      <x:c r="V169" s="30" t="str">
        <x:v>5820</x:v>
      </x:c>
    </x:row>
    <x:row r="170">
      <x:c r="A170" s="29" t="str">
        <x:v>35220200</x:v>
      </x:c>
      <x:c r="B170" s="30" t="str">
        <x:v>WV2M22 VRITRA</x:v>
      </x:c>
      <x:c r="C170" s="30" t="str">
        <x:v>Available</x:v>
      </x:c>
      <x:c r="D170" s="30" t="str">
        <x:v>NOVA CANNON - WV2M22 VRITRA (Left)</x:v>
      </x:c>
      <x:c r="E170" s="30" t="n">
        <x:v>4</x:v>
      </x:c>
      <x:c r="F170" s="30" t="n">
        <x:v>7310</x:v>
      </x:c>
      <x:c r="G170" s="30" t="n">
        <x:v>833</x:v>
      </x:c>
      <x:c r="H170" s="30" t="n">
        <x:v>1</x:v>
      </x:c>
      <x:c r="I170" s="30" t="n">
        <x:v>1</x:v>
      </x:c>
      <x:c r="J170" s="30" t="n">
        <x:v>1</x:v>
      </x:c>
      <x:c r="K170" s="30" t="n">
        <x:v>1</x:v>
      </x:c>
      <x:c r="L170" s="30" t="n">
        <x:v>1</x:v>
      </x:c>
      <x:c r="M170" s="30" t="n">
        <x:v>1</x:v>
      </x:c>
      <x:c r="N170" s="30" t="n">
        <x:v>0</x:v>
      </x:c>
      <x:c r="O170" s="30" t="n">
        <x:v>44</x:v>
      </x:c>
      <x:c r="P170" s="30" t="n">
        <x:v>0</x:v>
      </x:c>
      <x:c r="Q170" s="30" t="n">
        <x:v>0</x:v>
      </x:c>
      <x:c r="R170" s="30" t="n">
        <x:v>1</x:v>
      </x:c>
      <x:c r="S170" s="30" t="n">
        <x:v>1</x:v>
      </x:c>
      <x:c r="T170" s="30" t="n">
        <x:v>1</x:v>
      </x:c>
      <x:c r="U170" s="30" t="n">
        <x:v>1</x:v>
      </x:c>
      <x:c r="V170" s="30" t="str">
        <x:v>4777</x:v>
      </x:c>
    </x:row>
    <x:row r="171">
      <x:c r="A171" s="29" t="str">
        <x:v>35230100</x:v>
      </x:c>
      <x:c r="B171" s="30" t="str">
        <x:v>C-MOD_6 ARCUS</x:v>
      </x:c>
      <x:c r="C171" s="30" t="str">
        <x:v>Available</x:v>
      </x:c>
      <x:c r="D171" s="30" t="str">
        <x:v>PLASMA CANNON - C-MOD_6 ARCUS (Left)</x:v>
      </x:c>
      <x:c r="E171" s="30" t="n">
        <x:v>4</x:v>
      </x:c>
      <x:c r="F171" s="30" t="n">
        <x:v>7590</x:v>
      </x:c>
      <x:c r="G171" s="30" t="n">
        <x:v>911</x:v>
      </x:c>
      <x:c r="H171" s="30" t="n">
        <x:v>1</x:v>
      </x:c>
      <x:c r="I171" s="30" t="n">
        <x:v>1</x:v>
      </x:c>
      <x:c r="J171" s="30" t="n">
        <x:v>1</x:v>
      </x:c>
      <x:c r="K171" s="30" t="n">
        <x:v>1</x:v>
      </x:c>
      <x:c r="L171" s="30" t="n">
        <x:v>1</x:v>
      </x:c>
      <x:c r="M171" s="30" t="n">
        <x:v>1</x:v>
      </x:c>
      <x:c r="N171" s="30" t="n">
        <x:v>0</x:v>
      </x:c>
      <x:c r="O171" s="30" t="n">
        <x:v>28</x:v>
      </x:c>
      <x:c r="P171" s="30" t="n">
        <x:v>0</x:v>
      </x:c>
      <x:c r="Q171" s="30" t="n">
        <x:v>0</x:v>
      </x:c>
      <x:c r="R171" s="30" t="n">
        <x:v>1</x:v>
      </x:c>
      <x:c r="S171" s="30" t="n">
        <x:v>1</x:v>
      </x:c>
      <x:c r="T171" s="30" t="n">
        <x:v>1</x:v>
      </x:c>
      <x:c r="U171" s="30" t="n">
        <x:v>1</x:v>
      </x:c>
      <x:c r="V171" s="30" t="str">
        <x:v>4511</x:v>
      </x:c>
    </x:row>
    <x:row r="172">
      <x:c r="A172" s="29" t="str">
        <x:v>35230200</x:v>
      </x:c>
      <x:c r="B172" s="30" t="str">
        <x:v>C-MOD_7 LABRYS</x:v>
      </x:c>
      <x:c r="C172" s="30" t="str">
        <x:v>No matching stat row</x:v>
      </x:c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</x:row>
    <x:row r="173">
      <x:c r="A173" s="29" t="str">
        <x:v>35240100</x:v>
      </x:c>
      <x:c r="B173" s="30" t="str">
        <x:v>AWB01/H: RECLUSE PSC</x:v>
      </x:c>
      <x:c r="C173" s="30" t="str">
        <x:v>Available</x:v>
      </x:c>
      <x:c r="D173" s="30" t="str">
        <x:v>PULSE CANNON - HC Pulse Guns (Left)</x:v>
      </x:c>
      <x:c r="E173" s="30" t="n">
        <x:v>4</x:v>
      </x:c>
      <x:c r="F173" s="30" t="n">
        <x:v>1950</x:v>
      </x:c>
      <x:c r="G173" s="30" t="n">
        <x:v>430</x:v>
      </x:c>
      <x:c r="H173" s="30" t="n">
        <x:v>0</x:v>
      </x:c>
      <x:c r="I173" s="30" t="n">
        <x:v>0</x:v>
      </x:c>
      <x:c r="J173" s="30" t="n">
        <x:v>0</x:v>
      </x:c>
      <x:c r="K173" s="30" t="n">
        <x:v>0</x:v>
      </x:c>
      <x:c r="L173" s="30" t="n">
        <x:v>0</x:v>
      </x:c>
      <x:c r="M173" s="30" t="n">
        <x:v>0</x:v>
      </x:c>
      <x:c r="N173" s="30" t="n">
        <x:v>0</x:v>
      </x:c>
      <x:c r="O173" s="30" t="n">
        <x:v>400</x:v>
      </x:c>
      <x:c r="P173" s="30" t="n">
        <x:v>0</x:v>
      </x:c>
      <x:c r="Q173" s="30" t="n">
        <x:v>0</x:v>
      </x:c>
      <x:c r="R173" s="30" t="n">
        <x:v>0</x:v>
      </x:c>
      <x:c r="S173" s="30" t="n">
        <x:v>0</x:v>
      </x:c>
      <x:c r="T173" s="30" t="n">
        <x:v>0</x:v>
      </x:c>
      <x:c r="U173" s="30" t="n">
        <x:v>1</x:v>
      </x:c>
      <x:c r="V173" s="30" t="str">
        <x:v>4840</x:v>
      </x:c>
    </x:row>
    <x:row r="174">
      <x:c r="A174" s="29" t="str">
        <x:v>35240200</x:v>
      </x:c>
      <x:c r="B174" s="30" t="str">
        <x:v>VP-60LCF</x:v>
      </x:c>
      <x:c r="C174" s="30" t="str">
        <x:v>Available</x:v>
      </x:c>
      <x:c r="D174" s="30" t="str">
        <x:v>FAST LASER CANNON - VP-60LCF (Left)</x:v>
      </x:c>
      <x:c r="E174" s="30" t="n">
        <x:v>4</x:v>
      </x:c>
      <x:c r="F174" s="30" t="n">
        <x:v>2340</x:v>
      </x:c>
      <x:c r="G174" s="30" t="n">
        <x:v>400</x:v>
      </x:c>
      <x:c r="H174" s="30" t="n">
        <x:v>0</x:v>
      </x:c>
      <x:c r="I174" s="30" t="n">
        <x:v>0</x:v>
      </x:c>
      <x:c r="J174" s="30" t="n">
        <x:v>0</x:v>
      </x:c>
      <x:c r="K174" s="30" t="n">
        <x:v>0</x:v>
      </x:c>
      <x:c r="L174" s="30" t="n">
        <x:v>0</x:v>
      </x:c>
      <x:c r="M174" s="30" t="n">
        <x:v>0</x:v>
      </x:c>
      <x:c r="N174" s="30" t="n">
        <x:v>0</x:v>
      </x:c>
      <x:c r="O174" s="30" t="n">
        <x:v>145</x:v>
      </x:c>
      <x:c r="P174" s="30" t="n">
        <x:v>0</x:v>
      </x:c>
      <x:c r="Q174" s="30" t="n">
        <x:v>0</x:v>
      </x:c>
      <x:c r="R174" s="30" t="n">
        <x:v>0</x:v>
      </x:c>
      <x:c r="S174" s="30" t="n">
        <x:v>0</x:v>
      </x:c>
      <x:c r="T174" s="30" t="n">
        <x:v>0</x:v>
      </x:c>
      <x:c r="U174" s="30" t="n">
        <x:v>1</x:v>
      </x:c>
      <x:c r="V174" s="30" t="str">
        <x:v>4611</x:v>
      </x:c>
    </x:row>
    <x:row r="175">
      <x:c r="A175" s="29" t="str">
        <x:v>35250200</x:v>
      </x:c>
      <x:c r="B175" s="30" t="str">
        <x:v>LC-040 LINNAEUS</x:v>
      </x:c>
      <x:c r="C175" s="30" t="str">
        <x:v>Available</x:v>
      </x:c>
      <x:c r="D175" s="30" t="str">
        <x:v>LINEAR CANNON - LC-040 LINNAEUS (Left)</x:v>
      </x:c>
      <x:c r="E175" s="30" t="n">
        <x:v>4</x:v>
      </x:c>
      <x:c r="F175" s="30" t="n">
        <x:v>6820</x:v>
      </x:c>
      <x:c r="G175" s="30" t="n">
        <x:v>515</x:v>
      </x:c>
      <x:c r="H175" s="30" t="n">
        <x:v>0</x:v>
      </x:c>
      <x:c r="I175" s="30" t="n">
        <x:v>0</x:v>
      </x:c>
      <x:c r="J175" s="30" t="n">
        <x:v>0</x:v>
      </x:c>
      <x:c r="K175" s="30" t="n">
        <x:v>0</x:v>
      </x:c>
      <x:c r="L175" s="30" t="n">
        <x:v>0</x:v>
      </x:c>
      <x:c r="M175" s="30" t="n">
        <x:v>0</x:v>
      </x:c>
      <x:c r="N175" s="30" t="n">
        <x:v>0</x:v>
      </x:c>
      <x:c r="O175" s="30" t="n">
        <x:v>28</x:v>
      </x:c>
      <x:c r="P175" s="30" t="n">
        <x:v>0</x:v>
      </x:c>
      <x:c r="Q175" s="30" t="n">
        <x:v>0</x:v>
      </x:c>
      <x:c r="R175" s="30" t="n">
        <x:v>0</x:v>
      </x:c>
      <x:c r="S175" s="30" t="n">
        <x:v>0</x:v>
      </x:c>
      <x:c r="T175" s="30" t="n">
        <x:v>0</x:v>
      </x:c>
      <x:c r="U175" s="30" t="n">
        <x:v>1</x:v>
      </x:c>
      <x:c r="V175" s="30" t="str">
        <x:v>4120</x:v>
      </x:c>
    </x:row>
    <x:row r="176">
      <x:c r="A176" s="29" t="str">
        <x:v>35250300</x:v>
      </x:c>
      <x:c r="B176" s="30" t="str">
        <x:v>CX-09 PROVERB</x:v>
      </x:c>
      <x:c r="C176" s="30" t="str">
        <x:v>Available</x:v>
      </x:c>
      <x:c r="D176" s="30" t="str">
        <x:v>KINETIC CANNON - CX-09 PROVERB (Left)</x:v>
      </x:c>
      <x:c r="E176" s="30" t="n">
        <x:v>4</x:v>
      </x:c>
      <x:c r="F176" s="30" t="n">
        <x:v>5220</x:v>
      </x:c>
      <x:c r="G176" s="30" t="n">
        <x:v>210</x:v>
      </x:c>
      <x:c r="H176" s="30" t="n">
        <x:v>0</x:v>
      </x:c>
      <x:c r="I176" s="30" t="n">
        <x:v>0</x:v>
      </x:c>
      <x:c r="J176" s="30" t="n">
        <x:v>0</x:v>
      </x:c>
      <x:c r="K176" s="30" t="n">
        <x:v>0</x:v>
      </x:c>
      <x:c r="L176" s="30" t="n">
        <x:v>0</x:v>
      </x:c>
      <x:c r="M176" s="30" t="n">
        <x:v>0</x:v>
      </x:c>
      <x:c r="N176" s="30" t="n">
        <x:v>0</x:v>
      </x:c>
      <x:c r="O176" s="30" t="n">
        <x:v>34</x:v>
      </x:c>
      <x:c r="P176" s="30" t="n">
        <x:v>0</x:v>
      </x:c>
      <x:c r="Q176" s="30" t="n">
        <x:v>0</x:v>
      </x:c>
      <x:c r="R176" s="30" t="n">
        <x:v>1</x:v>
      </x:c>
      <x:c r="S176" s="30" t="n">
        <x:v>1</x:v>
      </x:c>
      <x:c r="T176" s="30" t="n">
        <x:v>1</x:v>
      </x:c>
      <x:c r="U176" s="30" t="n">
        <x:v>1</x:v>
      </x:c>
      <x:c r="V176" s="30" t="str">
        <x:v>4646</x:v>
      </x:c>
    </x:row>
    <x:row r="177">
      <x:c r="A177" s="29" t="str">
        <x:v>35250400</x:v>
      </x:c>
      <x:c r="B177" s="30" t="str">
        <x:v>IB-C03W7: CLA 900</x:v>
      </x:c>
      <x:c r="C177" s="30" t="str">
        <x:v>Available</x:v>
      </x:c>
      <x:c r="D177" s="30" t="str">
        <x:v>CORAL CANNON - IB-C03W7: CLA 900 (Left)</x:v>
      </x:c>
      <x:c r="E177" s="30" t="n">
        <x:v>4</x:v>
      </x:c>
      <x:c r="F177" s="30" t="n">
        <x:v>7100</x:v>
      </x:c>
      <x:c r="G177" s="30" t="n">
        <x:v>714</x:v>
      </x:c>
      <x:c r="H177" s="30" t="n">
        <x:v>0</x:v>
      </x:c>
      <x:c r="I177" s="30" t="n">
        <x:v>0</x:v>
      </x:c>
      <x:c r="J177" s="30" t="n">
        <x:v>0</x:v>
      </x:c>
      <x:c r="K177" s="30" t="n">
        <x:v>0</x:v>
      </x:c>
      <x:c r="L177" s="30" t="n">
        <x:v>0</x:v>
      </x:c>
      <x:c r="M177" s="30" t="n">
        <x:v>0</x:v>
      </x:c>
      <x:c r="N177" s="30" t="n">
        <x:v>0</x:v>
      </x:c>
      <x:c r="O177" s="30" t="n">
        <x:v>20</x:v>
      </x:c>
      <x:c r="P177" s="30" t="n">
        <x:v>0</x:v>
      </x:c>
      <x:c r="Q177" s="30" t="n">
        <x:v>0</x:v>
      </x:c>
      <x:c r="R177" s="30" t="n">
        <x:v>0</x:v>
      </x:c>
      <x:c r="S177" s="30" t="n">
        <x:v>0</x:v>
      </x:c>
      <x:c r="T177" s="30" t="n">
        <x:v>0</x:v>
      </x:c>
      <x:c r="U177" s="30" t="n">
        <x:v>1</x:v>
      </x:c>
      <x:c r="V177" s="30" t="str">
        <x:v>4612</x:v>
      </x:c>
    </x:row>
    <x:row r="178">
      <x:c r="A178" s="29" t="str">
        <x:v>35300200</x:v>
      </x:c>
      <x:c r="B178" s="30" t="str">
        <x:v>IB-C03W5: CLA 007</x:v>
      </x:c>
      <x:c r="C178" s="30" t="str">
        <x:v>Available</x:v>
      </x:c>
      <x:c r="D178" s="30" t="str">
        <x:v>CORAL ORBIT - IB-C03A2: AYR 007 (Left)</x:v>
      </x:c>
      <x:c r="E178" s="30" t="n">
        <x:v>4</x:v>
      </x:c>
      <x:c r="F178" s="30" t="n">
        <x:v>2220</x:v>
      </x:c>
      <x:c r="G178" s="30" t="n">
        <x:v>461</x:v>
      </x:c>
      <x:c r="H178" s="30" t="n">
        <x:v>0</x:v>
      </x:c>
      <x:c r="I178" s="30" t="n">
        <x:v>0</x:v>
      </x:c>
      <x:c r="J178" s="30" t="n">
        <x:v>0</x:v>
      </x:c>
      <x:c r="K178" s="30" t="n">
        <x:v>0</x:v>
      </x:c>
      <x:c r="L178" s="30" t="n">
        <x:v>0</x:v>
      </x:c>
      <x:c r="M178" s="30" t="n">
        <x:v>0</x:v>
      </x:c>
      <x:c r="N178" s="30" t="n">
        <x:v>0</x:v>
      </x:c>
      <x:c r="O178" s="30" t="n">
        <x:v>42</x:v>
      </x:c>
      <x:c r="P178" s="30" t="n">
        <x:v>5</x:v>
      </x:c>
      <x:c r="Q178" s="30" t="n">
        <x:v>0</x:v>
      </x:c>
      <x:c r="R178" s="30" t="n">
        <x:v>0</x:v>
      </x:c>
      <x:c r="S178" s="30" t="n">
        <x:v>0</x:v>
      </x:c>
      <x:c r="T178" s="30" t="n">
        <x:v>0</x:v>
      </x:c>
      <x:c r="U178" s="30" t="n">
        <x:v>1</x:v>
      </x:c>
      <x:c r="V178" s="30" t="str">
        <x:v>5725</x:v>
      </x:c>
    </x:row>
    <x:row r="179">
      <x:c r="A179" s="29" t="str">
        <x:v>35401000</x:v>
      </x:c>
      <x:c r="B179" s="30" t="str">
        <x:v>DF-SC-00 FENG-HUANG</x:v>
      </x:c>
      <x:c r="C179" s="30" t="str">
        <x:v>Available</x:v>
      </x:c>
      <x:c r="D179" s="30" t="str">
        <x:v>SIMPLE CANNON - DF-SC-00 FENG-HUANG (Left)</x:v>
      </x:c>
      <x:c r="E179" s="30" t="n">
        <x:v>4</x:v>
      </x:c>
      <x:c r="F179" s="30" t="n">
        <x:v>4310</x:v>
      </x:c>
      <x:c r="G179" s="30" t="n">
        <x:v>366</x:v>
      </x:c>
      <x:c r="H179" s="30" t="n">
        <x:v>0</x:v>
      </x:c>
      <x:c r="I179" s="30" t="n">
        <x:v>0</x:v>
      </x:c>
      <x:c r="J179" s="30" t="n">
        <x:v>0</x:v>
      </x:c>
      <x:c r="K179" s="30" t="n">
        <x:v>0</x:v>
      </x:c>
      <x:c r="L179" s="30" t="n">
        <x:v>0</x:v>
      </x:c>
      <x:c r="M179" s="30" t="n">
        <x:v>0</x:v>
      </x:c>
      <x:c r="N179" s="30" t="n">
        <x:v>0</x:v>
      </x:c>
      <x:c r="O179" s="30" t="n">
        <x:v>245</x:v>
      </x:c>
      <x:c r="P179" s="30" t="n">
        <x:v>4.8</x:v>
      </x:c>
      <x:c r="Q179" s="30" t="n">
        <x:v>0</x:v>
      </x:c>
      <x:c r="R179" s="30" t="n">
        <x:v>0</x:v>
      </x:c>
      <x:c r="S179" s="30" t="n">
        <x:v>0</x:v>
      </x:c>
      <x:c r="T179" s="30" t="n">
        <x:v>0</x:v>
      </x:c>
      <x:c r="U179" s="30" t="n">
        <x:v>1</x:v>
      </x:c>
      <x:c r="V179" s="30" t="str">
        <x:v>5120</x:v>
      </x:c>
    </x:row>
    <x:row r="180">
      <x:c r="A180" s="29" t="str">
        <x:v>35402000</x:v>
      </x:c>
      <x:c r="B180" s="30" t="str">
        <x:v>GX-67 WISDOM</x:v>
      </x:c>
      <x:c r="C180" s="30" t="str">
        <x:v>Available</x:v>
      </x:c>
      <x:c r="D180" s="30" t="str">
        <x:v>DIFFUSION GATLING CANNON - GX-67 WISDOM (Left)</x:v>
      </x:c>
      <x:c r="E180" s="30" t="n">
        <x:v>4</x:v>
      </x:c>
      <x:c r="F180" s="30" t="n">
        <x:v>4190</x:v>
      </x:c>
      <x:c r="G180" s="30" t="n">
        <x:v>499</x:v>
      </x:c>
      <x:c r="H180" s="30" t="n">
        <x:v>0</x:v>
      </x:c>
      <x:c r="I180" s="30" t="n">
        <x:v>0</x:v>
      </x:c>
      <x:c r="J180" s="30" t="n">
        <x:v>0</x:v>
      </x:c>
      <x:c r="K180" s="30" t="n">
        <x:v>0</x:v>
      </x:c>
      <x:c r="L180" s="30" t="n">
        <x:v>0</x:v>
      </x:c>
      <x:c r="M180" s="30" t="n">
        <x:v>0</x:v>
      </x:c>
      <x:c r="N180" s="30" t="n">
        <x:v>0</x:v>
      </x:c>
      <x:c r="O180" s="30" t="n">
        <x:v>1800</x:v>
      </x:c>
      <x:c r="P180" s="30" t="n">
        <x:v>0</x:v>
      </x:c>
      <x:c r="Q180" s="30" t="n">
        <x:v>0</x:v>
      </x:c>
      <x:c r="R180" s="30" t="n">
        <x:v>0</x:v>
      </x:c>
      <x:c r="S180" s="30" t="n">
        <x:v>0</x:v>
      </x:c>
      <x:c r="T180" s="30" t="n">
        <x:v>0</x:v>
      </x:c>
      <x:c r="U180" s="30" t="n">
        <x:v>1</x:v>
      </x:c>
      <x:c r="V180" s="30" t="str">
        <x:v>5199</x:v>
      </x:c>
    </x:row>
    <x:row r="181">
      <x:c r="A181" s="29" t="str">
        <x:v>75001000</x:v>
      </x:c>
      <x:c r="B181" s="30" t="str">
        <x:v>PLASMA ARMOR</x:v>
      </x:c>
      <x:c r="C181" s="30" t="str">
        <x:v>Available</x:v>
      </x:c>
      <x:c r="D181" s="30" t="str">
        <x:v>EXPANSION - PLASMA ARMOR</x:v>
      </x:c>
      <x:c r="E181" s="30" t="n">
        <x:v>7</x:v>
      </x:c>
      <x:c r="F181" s="30" t="n">
        <x:v>0</x:v>
      </x:c>
      <x:c r="G181" s="30" t="n">
        <x:v>0</x:v>
      </x:c>
      <x:c r="H181" s="30" t="n">
        <x:v>0</x:v>
      </x:c>
      <x:c r="I181" s="30" t="n">
        <x:v>0</x:v>
      </x:c>
      <x:c r="J181" s="30" t="n">
        <x:v>0</x:v>
      </x:c>
      <x:c r="K181" s="30" t="n">
        <x:v>0</x:v>
      </x:c>
      <x:c r="L181" s="30" t="n">
        <x:v>0</x:v>
      </x:c>
      <x:c r="M181" s="30" t="n">
        <x:v>0</x:v>
      </x:c>
      <x:c r="N181" s="30" t="n">
        <x:v>0</x:v>
      </x:c>
      <x:c r="O181" s="30" t="n">
        <x:v>2</x:v>
      </x:c>
      <x:c r="P181" s="30" t="n">
        <x:v>0</x:v>
      </x:c>
      <x:c r="Q181" s="30" t="n">
        <x:v>0</x:v>
      </x:c>
      <x:c r="R181" s="30" t="n">
        <x:v>0</x:v>
      </x:c>
      <x:c r="S181" s="30" t="n">
        <x:v>0</x:v>
      </x:c>
      <x:c r="T181" s="30" t="n">
        <x:v>0</x:v>
      </x:c>
      <x:c r="U181" s="30" t="n">
        <x:v>1</x:v>
      </x:c>
      <x:c r="V181" s="30" t="str">
        <x:v>9015</x:v>
      </x:c>
    </x:row>
    <x:row r="182">
      <x:c r="A182" s="29" t="str">
        <x:v>75011000</x:v>
      </x:c>
      <x:c r="B182" s="30" t="str">
        <x:v>&lt;font color="#9e1a13"&gt;ENERGY EXPULSION&lt;/font&gt;</x:v>
      </x:c>
      <x:c r="C182" s="30" t="str">
        <x:v>Available</x:v>
      </x:c>
      <x:c r="D182" s="30" t="str">
        <x:v>EXPANSION - ENERGY EXPULSION</x:v>
      </x:c>
      <x:c r="E182" s="30" t="n">
        <x:v>7</x:v>
      </x:c>
      <x:c r="F182" s="30" t="n">
        <x:v>0</x:v>
      </x:c>
      <x:c r="G182" s="30" t="n">
        <x:v>0</x:v>
      </x:c>
      <x:c r="H182" s="30" t="n">
        <x:v>0</x:v>
      </x:c>
      <x:c r="I182" s="30" t="n">
        <x:v>0</x:v>
      </x:c>
      <x:c r="J182" s="30" t="n">
        <x:v>0</x:v>
      </x:c>
      <x:c r="K182" s="30" t="n">
        <x:v>0</x:v>
      </x:c>
      <x:c r="L182" s="30" t="n">
        <x:v>0</x:v>
      </x:c>
      <x:c r="M182" s="30" t="n">
        <x:v>0</x:v>
      </x:c>
      <x:c r="N182" s="30" t="n">
        <x:v>0</x:v>
      </x:c>
      <x:c r="O182" s="30" t="n">
        <x:v>4</x:v>
      </x:c>
      <x:c r="P182" s="30" t="n">
        <x:v>0</x:v>
      </x:c>
      <x:c r="Q182" s="30" t="n">
        <x:v>0</x:v>
      </x:c>
      <x:c r="R182" s="30" t="n">
        <x:v>0</x:v>
      </x:c>
      <x:c r="S182" s="30" t="n">
        <x:v>0</x:v>
      </x:c>
      <x:c r="T182" s="30" t="n">
        <x:v>0</x:v>
      </x:c>
      <x:c r="U182" s="30" t="n">
        <x:v>1</x:v>
      </x:c>
      <x:c r="V182" s="30" t="str">
        <x:v>9014</x:v>
      </x:c>
    </x:row>
    <x:row r="183">
      <x:c r="A183" s="29" t="str">
        <x:v>75040000</x:v>
      </x:c>
      <x:c r="B183" s="30" t="str">
        <x:v>ENERGY ASSAULT</x:v>
      </x:c>
      <x:c r="C183" s="30" t="str">
        <x:v>Available</x:v>
      </x:c>
      <x:c r="D183" s="30" t="str">
        <x:v>EXPANSION - ENERGY ASSAULT</x:v>
      </x:c>
      <x:c r="E183" s="30" t="n">
        <x:v>7</x:v>
      </x:c>
      <x:c r="F183" s="30" t="n">
        <x:v>0</x:v>
      </x:c>
      <x:c r="G183" s="30" t="n">
        <x:v>0</x:v>
      </x:c>
      <x:c r="H183" s="30" t="n">
        <x:v>0</x:v>
      </x:c>
      <x:c r="I183" s="30" t="n">
        <x:v>0</x:v>
      </x:c>
      <x:c r="J183" s="30" t="n">
        <x:v>0</x:v>
      </x:c>
      <x:c r="K183" s="30" t="n">
        <x:v>0</x:v>
      </x:c>
      <x:c r="L183" s="30" t="n">
        <x:v>0</x:v>
      </x:c>
      <x:c r="M183" s="30" t="n">
        <x:v>0</x:v>
      </x:c>
      <x:c r="N183" s="30" t="n">
        <x:v>0</x:v>
      </x:c>
      <x:c r="O183" s="30" t="n">
        <x:v>3</x:v>
      </x:c>
      <x:c r="P183" s="30" t="n">
        <x:v>0</x:v>
      </x:c>
      <x:c r="Q183" s="30" t="n">
        <x:v>0</x:v>
      </x:c>
      <x:c r="R183" s="30" t="n">
        <x:v>0</x:v>
      </x:c>
      <x:c r="S183" s="30" t="n">
        <x:v>0</x:v>
      </x:c>
      <x:c r="T183" s="30" t="n">
        <x:v>0</x:v>
      </x:c>
      <x:c r="U183" s="30" t="n">
        <x:v>1</x:v>
      </x:c>
      <x:c r="V183" s="30" t="str">
        <x:v>9014</x:v>
      </x:c>
    </x:row>
    <x:row r="184">
      <x:c r="A184" s="29" t="str">
        <x:v>75050000</x:v>
      </x:c>
      <x:c r="B184" s="30" t="str">
        <x:v>SATELLITE PRECISION STRIKE</x:v>
      </x:c>
      <x:c r="C184" s="30" t="str">
        <x:v>Available</x:v>
      </x:c>
      <x:c r="D184" s="30" t="str">
        <x:v>EXPANSION - ORBITAL PRECISION STRIKE</x:v>
      </x:c>
      <x:c r="E184" s="30" t="n">
        <x:v>7</x:v>
      </x:c>
      <x:c r="F184" s="30" t="n">
        <x:v>0</x:v>
      </x:c>
      <x:c r="G184" s="30" t="n">
        <x:v>0</x:v>
      </x:c>
      <x:c r="H184" s="30" t="n">
        <x:v>2</x:v>
      </x:c>
      <x:c r="I184" s="30" t="n">
        <x:v>1</x:v>
      </x:c>
      <x:c r="J184" s="30" t="n">
        <x:v>2</x:v>
      </x:c>
      <x:c r="K184" s="30" t="n">
        <x:v>2</x:v>
      </x:c>
      <x:c r="L184" s="30" t="n">
        <x:v>2</x:v>
      </x:c>
      <x:c r="M184" s="30" t="n">
        <x:v>1</x:v>
      </x:c>
      <x:c r="N184" s="30" t="n">
        <x:v>0</x:v>
      </x:c>
      <x:c r="O184" s="30" t="n">
        <x:v>2</x:v>
      </x:c>
      <x:c r="P184" s="30" t="n">
        <x:v>0</x:v>
      </x:c>
      <x:c r="Q184" s="30" t="n">
        <x:v>0</x:v>
      </x:c>
      <x:c r="R184" s="30" t="n">
        <x:v>0</x:v>
      </x:c>
      <x:c r="S184" s="30" t="n">
        <x:v>0</x:v>
      </x:c>
      <x:c r="T184" s="30" t="n">
        <x:v>0</x:v>
      </x:c>
      <x:c r="U184" s="30" t="n">
        <x:v>1</x:v>
      </x:c>
      <x:c r="V184" s="30" t="str">
        <x:v>9016</x:v>
      </x:c>
    </x:row>
    <x:row r="185">
      <x:c r="A185" s="29" t="str">
        <x:v>75060000</x:v>
      </x:c>
      <x:c r="B185" s="30" t="str">
        <x:v>REDSTEEL FRAMEWORK</x:v>
      </x:c>
      <x:c r="C185" s="30" t="str">
        <x:v>Available</x:v>
      </x:c>
      <x:c r="D185" s="30" t="str">
        <x:v>EXPANSION - REDSTEEL FRAMEWORK</x:v>
      </x:c>
      <x:c r="E185" s="30" t="n">
        <x:v>7</x:v>
      </x:c>
      <x:c r="F185" s="30" t="n">
        <x:v>0</x:v>
      </x:c>
      <x:c r="G185" s="30" t="n">
        <x:v>0</x:v>
      </x:c>
      <x:c r="H185" s="30" t="n">
        <x:v>1</x:v>
      </x:c>
      <x:c r="I185" s="30" t="n">
        <x:v>1</x:v>
      </x:c>
      <x:c r="J185" s="30" t="n">
        <x:v>1</x:v>
      </x:c>
      <x:c r="K185" s="30" t="n">
        <x:v>1</x:v>
      </x:c>
      <x:c r="L185" s="30" t="n">
        <x:v>1</x:v>
      </x:c>
      <x:c r="M185" s="30" t="n">
        <x:v>1</x:v>
      </x:c>
      <x:c r="N185" s="30" t="n">
        <x:v>1</x:v>
      </x:c>
      <x:c r="O185" s="30" t="n">
        <x:v>1</x:v>
      </x:c>
      <x:c r="P185" s="30" t="n">
        <x:v>0</x:v>
      </x:c>
      <x:c r="Q185" s="30" t="n">
        <x:v>0</x:v>
      </x:c>
      <x:c r="R185" s="30" t="n">
        <x:v>0</x:v>
      </x:c>
      <x:c r="S185" s="30" t="n">
        <x:v>0</x:v>
      </x:c>
      <x:c r="T185" s="30" t="n">
        <x:v>0</x:v>
      </x:c>
      <x:c r="U185" s="30" t="n">
        <x:v>1</x:v>
      </x:c>
      <x:c r="V185" s="30" t="str">
        <x:v>9017</x:v>
      </x:c>
    </x:row>
    <x:row r="186">
      <x:c r="A186" s="29" t="str">
        <x:v>75070000</x:v>
      </x:c>
      <x:c r="B186" s="30" t="str">
        <x:v>NOTHING EVER HAPPENS</x:v>
      </x:c>
      <x:c r="C186" s="30" t="str">
        <x:v>Available</x:v>
      </x:c>
      <x:c r="D186" s="30" t="str">
        <x:v>EXPANSION - NOTHING EVER HAPPENS</x:v>
      </x:c>
      <x:c r="E186" s="30" t="n">
        <x:v>7</x:v>
      </x:c>
      <x:c r="F186" s="30" t="n">
        <x:v>0</x:v>
      </x:c>
      <x:c r="G186" s="30" t="n">
        <x:v>0</x:v>
      </x:c>
      <x:c r="H186" s="30" t="n">
        <x:v>1</x:v>
      </x:c>
      <x:c r="I186" s="30" t="n">
        <x:v>1</x:v>
      </x:c>
      <x:c r="J186" s="30" t="n">
        <x:v>1</x:v>
      </x:c>
      <x:c r="K186" s="30" t="n">
        <x:v>1</x:v>
      </x:c>
      <x:c r="L186" s="30" t="n">
        <x:v>1</x:v>
      </x:c>
      <x:c r="M186" s="30" t="n">
        <x:v>1</x:v>
      </x:c>
      <x:c r="N186" s="30" t="n">
        <x:v>1</x:v>
      </x:c>
      <x:c r="O186" s="30" t="n">
        <x:v>1</x:v>
      </x:c>
      <x:c r="P186" s="30" t="n">
        <x:v>0</x:v>
      </x:c>
      <x:c r="Q186" s="30" t="n">
        <x:v>0</x:v>
      </x:c>
      <x:c r="R186" s="30" t="n">
        <x:v>0</x:v>
      </x:c>
      <x:c r="S186" s="30" t="n">
        <x:v>0</x:v>
      </x:c>
      <x:c r="T186" s="30" t="n">
        <x:v>0</x:v>
      </x:c>
      <x:c r="U186" s="30" t="n">
        <x:v>1</x:v>
      </x:c>
      <x:c r="V186" s="30" t="str">
        <x:v>9015</x:v>
      </x:c>
    </x:row>
    <x:row r="187">
      <x:c r="A187" s="29" t="str">
        <x:v>75080000</x:v>
      </x:c>
      <x:c r="B187" s="30" t="str">
        <x:v>PULSE RESTORATION</x:v>
      </x:c>
      <x:c r="C187" s="30" t="str">
        <x:v>Available</x:v>
      </x:c>
      <x:c r="D187" s="30" t="str">
        <x:v>EXPANSION - PULSE RESTORATION</x:v>
      </x:c>
      <x:c r="E187" s="30" t="n">
        <x:v>7</x:v>
      </x:c>
      <x:c r="F187" s="30" t="n">
        <x:v>0</x:v>
      </x:c>
      <x:c r="G187" s="30" t="n">
        <x:v>0</x:v>
      </x:c>
      <x:c r="H187" s="30" t="n">
        <x:v>1</x:v>
      </x:c>
      <x:c r="I187" s="30" t="n">
        <x:v>1</x:v>
      </x:c>
      <x:c r="J187" s="30" t="n">
        <x:v>1</x:v>
      </x:c>
      <x:c r="K187" s="30" t="n">
        <x:v>1</x:v>
      </x:c>
      <x:c r="L187" s="30" t="n">
        <x:v>1</x:v>
      </x:c>
      <x:c r="M187" s="30" t="n">
        <x:v>1</x:v>
      </x:c>
      <x:c r="N187" s="30" t="n">
        <x:v>1</x:v>
      </x:c>
      <x:c r="O187" s="30" t="n">
        <x:v>1</x:v>
      </x:c>
      <x:c r="P187" s="30" t="n">
        <x:v>0</x:v>
      </x:c>
      <x:c r="Q187" s="30" t="n">
        <x:v>0</x:v>
      </x:c>
      <x:c r="R187" s="30" t="n">
        <x:v>0</x:v>
      </x:c>
      <x:c r="S187" s="30" t="n">
        <x:v>0</x:v>
      </x:c>
      <x:c r="T187" s="30" t="n">
        <x:v>0</x:v>
      </x:c>
      <x:c r="U187" s="30" t="n">
        <x:v>1</x:v>
      </x:c>
      <x:c r="V187" s="30" t="str">
        <x:v>9018</x:v>
      </x:c>
    </x:row>
    <x:row r="188">
      <x:c r="A188" s="29" t="str">
        <x:v>75090000</x:v>
      </x:c>
      <x:c r="B188" s="30" t="str">
        <x:v>SWARM ARMOR</x:v>
      </x:c>
      <x:c r="C188" s="30" t="str">
        <x:v>Available</x:v>
      </x:c>
      <x:c r="D188" s="30" t="str">
        <x:v>EXPANSION - SWARM ARMOR</x:v>
      </x:c>
      <x:c r="E188" s="30" t="n">
        <x:v>7</x:v>
      </x:c>
      <x:c r="F188" s="30" t="n">
        <x:v>0</x:v>
      </x:c>
      <x:c r="G188" s="30" t="n">
        <x:v>0</x:v>
      </x:c>
      <x:c r="H188" s="30" t="n">
        <x:v>1</x:v>
      </x:c>
      <x:c r="I188" s="30" t="n">
        <x:v>0</x:v>
      </x:c>
      <x:c r="J188" s="30" t="n">
        <x:v>1</x:v>
      </x:c>
      <x:c r="K188" s="30" t="n">
        <x:v>1</x:v>
      </x:c>
      <x:c r="L188" s="30" t="n">
        <x:v>1</x:v>
      </x:c>
      <x:c r="M188" s="30" t="n">
        <x:v>1</x:v>
      </x:c>
      <x:c r="N188" s="30" t="n">
        <x:v>1</x:v>
      </x:c>
      <x:c r="O188" s="30" t="n">
        <x:v>3</x:v>
      </x:c>
      <x:c r="P188" s="30" t="n">
        <x:v>0</x:v>
      </x:c>
      <x:c r="Q188" s="30" t="n">
        <x:v>0</x:v>
      </x:c>
      <x:c r="R188" s="30" t="n">
        <x:v>0</x:v>
      </x:c>
      <x:c r="S188" s="30" t="n">
        <x:v>0</x:v>
      </x:c>
      <x:c r="T188" s="30" t="n">
        <x:v>0</x:v>
      </x:c>
      <x:c r="U188" s="30" t="n">
        <x:v>1</x:v>
      </x:c>
      <x:c r="V188" s="30" t="str">
        <x:v>9019</x:v>
      </x:c>
    </x:row>
    <x:row r="189">
      <x:c r="A189" s="29" t="str">
        <x:v>80000400</x:v>
      </x:c>
      <x:c r="B189" s="30" t="str">
        <x:v>(UNARMED)</x:v>
      </x:c>
      <x:c r="C189" s="30" t="str">
        <x:v>Available</x:v>
      </x:c>
      <x:c r="D189" s="30" t="str">
        <x:v>Fists (Right)</x:v>
      </x:c>
      <x:c r="E189" s="30" t="n">
        <x:v>1</x:v>
      </x:c>
      <x:c r="F189" s="30" t="n">
        <x:v>0</x:v>
      </x:c>
      <x:c r="G189" s="30" t="n">
        <x:v>50</x:v>
      </x:c>
      <x:c r="H189" s="30" t="n">
        <x:v>0</x:v>
      </x:c>
      <x:c r="I189" s="30" t="n">
        <x:v>0</x:v>
      </x:c>
      <x:c r="J189" s="30" t="n">
        <x:v>0</x:v>
      </x:c>
      <x:c r="K189" s="30" t="n">
        <x:v>0</x:v>
      </x:c>
      <x:c r="L189" s="30" t="n">
        <x:v>0</x:v>
      </x:c>
      <x:c r="M189" s="30" t="n">
        <x:v>0</x:v>
      </x:c>
      <x:c r="N189" s="30" t="n">
        <x:v>0</x:v>
      </x:c>
      <x:c r="O189" s="30" t="n">
        <x:v>-1</x:v>
      </x:c>
      <x:c r="P189" s="30" t="n">
        <x:v>0</x:v>
      </x:c>
      <x:c r="Q189" s="30" t="n">
        <x:v>0</x:v>
      </x:c>
      <x:c r="R189" s="30" t="n">
        <x:v>0</x:v>
      </x:c>
      <x:c r="S189" s="30" t="n">
        <x:v>0</x:v>
      </x:c>
      <x:c r="T189" s="30" t="n">
        <x:v>0</x:v>
      </x:c>
      <x:c r="U189" s="30" t="n">
        <x:v>1</x:v>
      </x:c>
      <x:c r="V189" s="30" t="str">
        <x:v>0</x:v>
      </x:c>
    </x:row>
    <x:row r="190">
      <x:c r="A190" s="31" t="str">
        <x:v>85000400</x:v>
      </x:c>
      <x:c r="B190" s="32" t="str">
        <x:v>(UNARMED)</x:v>
      </x:c>
      <x:c r="C190" s="32" t="str">
        <x:v>Available</x:v>
      </x:c>
      <x:c r="D190" s="32" t="str">
        <x:v>Fists (Left)</x:v>
      </x:c>
      <x:c r="E190" s="32" t="n">
        <x:v>1</x:v>
      </x:c>
      <x:c r="F190" s="32" t="n">
        <x:v>0</x:v>
      </x:c>
      <x:c r="G190" s="32" t="n">
        <x:v>50</x:v>
      </x:c>
      <x:c r="H190" s="32" t="n">
        <x:v>0</x:v>
      </x:c>
      <x:c r="I190" s="32" t="n">
        <x:v>0</x:v>
      </x:c>
      <x:c r="J190" s="32" t="n">
        <x:v>0</x:v>
      </x:c>
      <x:c r="K190" s="32" t="n">
        <x:v>0</x:v>
      </x:c>
      <x:c r="L190" s="32" t="n">
        <x:v>0</x:v>
      </x:c>
      <x:c r="M190" s="32" t="n">
        <x:v>0</x:v>
      </x:c>
      <x:c r="N190" s="32" t="n">
        <x:v>0</x:v>
      </x:c>
      <x:c r="O190" s="32" t="n">
        <x:v>-1</x:v>
      </x:c>
      <x:c r="P190" s="32" t="n">
        <x:v>0</x:v>
      </x:c>
      <x:c r="Q190" s="32" t="n">
        <x:v>0</x:v>
      </x:c>
      <x:c r="R190" s="32" t="n">
        <x:v>0</x:v>
      </x:c>
      <x:c r="S190" s="32" t="n">
        <x:v>0</x:v>
      </x:c>
      <x:c r="T190" s="32" t="n">
        <x:v>0</x:v>
      </x:c>
      <x:c r="U190" s="32" t="n">
        <x:v>1</x:v>
      </x:c>
      <x:c r="V190" s="32" t="str">
        <x:v>0</x:v>
      </x:c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</x:row>
    <x:row r="193" ht="25" customHeight="1">
      <x:c r="A193" s="41" t="str">
        <x:v>Armor — Head  •  34 parts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25"/>
      <x:c r="Q193" s="25"/>
      <x:c r="R193" s="25"/>
      <x:c r="S193" s="25"/>
      <x:c r="T193" s="25"/>
      <x:c r="U193" s="25"/>
      <x:c r="V193" s="25"/>
    </x:row>
    <x:row r="194" ht="32" customHeight="1">
      <x:c r="A194" s="42" t="str">
        <x:v>ID</x:v>
      </x:c>
      <x:c r="B194" s="42" t="str">
        <x:v>Part Name</x:v>
      </x:c>
      <x:c r="C194" s="42" t="str">
        <x:v>Data Status</x:v>
      </x:c>
      <x:c r="D194" s="42" t="str">
        <x:v>Internal Label</x:v>
      </x:c>
      <x:c r="E194" s="42" t="str">
        <x:v>AP</x:v>
      </x:c>
      <x:c r="F194" s="42" t="str">
        <x:v>Weight</x:v>
      </x:c>
      <x:c r="G194" s="42" t="str">
        <x:v>EN Load</x:v>
      </x:c>
      <x:c r="H194" s="42" t="str">
        <x:v>Kinetic Defense</x:v>
      </x:c>
      <x:c r="I194" s="42" t="str">
        <x:v>Energy Defense</x:v>
      </x:c>
      <x:c r="J194" s="42" t="str">
        <x:v>Explosive Defense</x:v>
      </x:c>
      <x:c r="K194" s="42" t="str">
        <x:v>Attitude Stability</x:v>
      </x:c>
      <x:c r="L194" s="42" t="str">
        <x:v>System Recovery</x:v>
      </x:c>
      <x:c r="M194" s="42" t="str">
        <x:v>Scan Distance</x:v>
      </x:c>
      <x:c r="N194" s="42" t="str">
        <x:v>Scan Duration</x:v>
      </x:c>
      <x:c r="O194" s="42" t="str">
        <x:v>Model ID</x:v>
      </x:c>
      <x:c r="P194" s="25"/>
      <x:c r="Q194" s="25"/>
      <x:c r="R194" s="25"/>
      <x:c r="S194" s="25"/>
      <x:c r="T194" s="25"/>
      <x:c r="U194" s="25"/>
      <x:c r="V194" s="25"/>
    </x:row>
    <x:row r="195">
      <x:c r="A195" s="27" t="str">
        <x:v>50000400</x:v>
      </x:c>
      <x:c r="B195" s="28" t="str">
        <x:v>VP-44S-C CONTEMPT</x:v>
      </x:c>
      <x:c r="C195" s="28" t="str">
        <x:v>Available</x:v>
      </x:c>
      <x:c r="D195" s="28" t="str">
        <x:v>HEAD - NEW KITBASH HEAD</x:v>
      </x:c>
      <x:c r="E195" s="28" t="n">
        <x:v>880</x:v>
      </x:c>
      <x:c r="F195" s="28" t="n">
        <x:v>3580</x:v>
      </x:c>
      <x:c r="G195" s="28" t="n">
        <x:v>255</x:v>
      </x:c>
      <x:c r="H195" s="28" t="n">
        <x:v>250</x:v>
      </x:c>
      <x:c r="I195" s="28" t="n">
        <x:v>150</x:v>
      </x:c>
      <x:c r="J195" s="28" t="n">
        <x:v>2</x:v>
      </x:c>
      <x:c r="K195" s="28" t="n">
        <x:v>488</x:v>
      </x:c>
      <x:c r="L195" s="28" t="n">
        <x:v>100</x:v>
      </x:c>
      <x:c r="M195" s="28" t="n">
        <x:v>622</x:v>
      </x:c>
      <x:c r="N195" s="28" t="n">
        <x:v>5</x:v>
      </x:c>
      <x:c r="O195" s="28" t="str">
        <x:v>4840</x:v>
      </x:c>
      <x:c r="P195" s="25"/>
      <x:c r="Q195" s="25"/>
      <x:c r="R195" s="25"/>
      <x:c r="S195" s="25"/>
      <x:c r="T195" s="25"/>
      <x:c r="U195" s="25"/>
      <x:c r="V195" s="25"/>
    </x:row>
    <x:row r="196">
      <x:c r="A196" s="29" t="str">
        <x:v>50000500</x:v>
      </x:c>
      <x:c r="B196" s="30" t="str">
        <x:v>VP-44S-C PILLAGER</x:v>
      </x:c>
      <x:c r="C196" s="30" t="str">
        <x:v>Available</x:v>
      </x:c>
      <x:c r="D196" s="30" t="str">
        <x:v>HEAD - Pirates! Yarr</x:v>
      </x:c>
      <x:c r="E196" s="30" t="n">
        <x:v>980</x:v>
      </x:c>
      <x:c r="F196" s="30" t="n">
        <x:v>3980</x:v>
      </x:c>
      <x:c r="G196" s="30" t="n">
        <x:v>155</x:v>
      </x:c>
      <x:c r="H196" s="30" t="n">
        <x:v>250</x:v>
      </x:c>
      <x:c r="I196" s="30" t="n">
        <x:v>150</x:v>
      </x:c>
      <x:c r="J196" s="30" t="n">
        <x:v>2.9</x:v>
      </x:c>
      <x:c r="K196" s="30" t="n">
        <x:v>505</x:v>
      </x:c>
      <x:c r="L196" s="30" t="n">
        <x:v>100</x:v>
      </x:c>
      <x:c r="M196" s="30" t="n">
        <x:v>500</x:v>
      </x:c>
      <x:c r="N196" s="30" t="n">
        <x:v>7.2</x:v>
      </x:c>
      <x:c r="O196" s="30" t="str">
        <x:v>4019</x:v>
      </x:c>
      <x:c r="P196" s="25"/>
      <x:c r="Q196" s="25"/>
      <x:c r="R196" s="25"/>
      <x:c r="S196" s="25"/>
      <x:c r="T196" s="25"/>
      <x:c r="U196" s="25"/>
      <x:c r="V196" s="25"/>
    </x:row>
    <x:row r="197">
      <x:c r="A197" s="29" t="str">
        <x:v>50000600</x:v>
      </x:c>
      <x:c r="B197" s="30" t="str">
        <x:v>VP-44C</x:v>
      </x:c>
      <x:c r="C197" s="30" t="str">
        <x:v>Available</x:v>
      </x:c>
      <x:c r="D197" s="30" t="str">
        <x:v>HEAD - Epic Chinese Hat</x:v>
      </x:c>
      <x:c r="E197" s="30" t="n">
        <x:v>885</x:v>
      </x:c>
      <x:c r="F197" s="30" t="n">
        <x:v>4000</x:v>
      </x:c>
      <x:c r="G197" s="30" t="n">
        <x:v>202</x:v>
      </x:c>
      <x:c r="H197" s="30" t="n">
        <x:v>250</x:v>
      </x:c>
      <x:c r="I197" s="30" t="n">
        <x:v>150</x:v>
      </x:c>
      <x:c r="J197" s="30" t="n">
        <x:v>3.2</x:v>
      </x:c>
      <x:c r="K197" s="30" t="n">
        <x:v>480</x:v>
      </x:c>
      <x:c r="L197" s="30" t="n">
        <x:v>100</x:v>
      </x:c>
      <x:c r="M197" s="30" t="n">
        <x:v>440</x:v>
      </x:c>
      <x:c r="N197" s="30" t="n">
        <x:v>9</x:v>
      </x:c>
      <x:c r="O197" s="30" t="str">
        <x:v>8889</x:v>
      </x:c>
      <x:c r="P197" s="25"/>
      <x:c r="Q197" s="25"/>
      <x:c r="R197" s="25"/>
      <x:c r="S197" s="25"/>
      <x:c r="T197" s="25"/>
      <x:c r="U197" s="25"/>
      <x:c r="V197" s="25"/>
    </x:row>
    <x:row r="198">
      <x:c r="A198" s="29" t="str">
        <x:v>50000700</x:v>
      </x:c>
      <x:c r="B198" s="30" t="str">
        <x:v>(NOTHING)</x:v>
      </x:c>
      <x:c r="C198" s="30" t="str">
        <x:v>Available</x:v>
      </x:c>
      <x:c r="D198" s="30" t="str">
        <x:v>HEAD - (NOTHING)</x:v>
      </x:c>
      <x:c r="E198" s="30" t="n">
        <x:v>0</x:v>
      </x:c>
      <x:c r="F198" s="30" t="n">
        <x:v>0</x:v>
      </x:c>
      <x:c r="G198" s="30" t="n">
        <x:v>0</x:v>
      </x:c>
      <x:c r="H198" s="30" t="n">
        <x:v>0</x:v>
      </x:c>
      <x:c r="I198" s="30" t="n">
        <x:v>0</x:v>
      </x:c>
      <x:c r="J198" s="30" t="n">
        <x:v>-15</x:v>
      </x:c>
      <x:c r="K198" s="30" t="n">
        <x:v>0</x:v>
      </x:c>
      <x:c r="L198" s="30" t="n">
        <x:v>0</x:v>
      </x:c>
      <x:c r="M198" s="30" t="n">
        <x:v>0</x:v>
      </x:c>
      <x:c r="N198" s="30" t="n">
        <x:v>0</x:v>
      </x:c>
      <x:c r="O198" s="30" t="str">
        <x:v>0</x:v>
      </x:c>
      <x:c r="P198" s="25"/>
      <x:c r="Q198" s="25"/>
      <x:c r="R198" s="25"/>
      <x:c r="S198" s="25"/>
      <x:c r="T198" s="25"/>
      <x:c r="U198" s="25"/>
      <x:c r="V198" s="25"/>
    </x:row>
    <x:row r="199">
      <x:c r="A199" s="29" t="str">
        <x:v>50000800</x:v>
      </x:c>
      <x:c r="B199" s="30" t="str">
        <x:v>ACH-G4/P03SAR</x:v>
      </x:c>
      <x:c r="C199" s="30" t="str">
        <x:v>Available</x:v>
      </x:c>
      <x:c r="D199" s="30" t="str">
        <x:v>HEAD - Sarah's Frame!!</x:v>
      </x:c>
      <x:c r="E199" s="30" t="n">
        <x:v>960</x:v>
      </x:c>
      <x:c r="F199" s="30" t="n">
        <x:v>4120</x:v>
      </x:c>
      <x:c r="G199" s="30" t="n">
        <x:v>195</x:v>
      </x:c>
      <x:c r="H199" s="30" t="n">
        <x:v>250</x:v>
      </x:c>
      <x:c r="I199" s="30" t="n">
        <x:v>150</x:v>
      </x:c>
      <x:c r="J199" s="30" t="n">
        <x:v>3.2</x:v>
      </x:c>
      <x:c r="K199" s="30" t="n">
        <x:v>500</x:v>
      </x:c>
      <x:c r="L199" s="30" t="n">
        <x:v>100</x:v>
      </x:c>
      <x:c r="M199" s="30" t="n">
        <x:v>380</x:v>
      </x:c>
      <x:c r="N199" s="30" t="n">
        <x:v>9</x:v>
      </x:c>
      <x:c r="O199" s="30" t="str">
        <x:v>6448</x:v>
      </x:c>
      <x:c r="P199" s="25"/>
      <x:c r="Q199" s="25"/>
      <x:c r="R199" s="25"/>
      <x:c r="S199" s="25"/>
      <x:c r="T199" s="25"/>
      <x:c r="U199" s="25"/>
      <x:c r="V199" s="25"/>
    </x:row>
    <x:row r="200">
      <x:c r="A200" s="29" t="str">
        <x:v>50000900</x:v>
      </x:c>
      <x:c r="B200" s="30" t="str">
        <x:v>20-081-C DEAR BELOVED</x:v>
      </x:c>
      <x:c r="C200" s="30" t="str">
        <x:v>Available</x:v>
      </x:c>
      <x:c r="D200" s="30" t="str">
        <x:v>HEAD - June's Head</x:v>
      </x:c>
      <x:c r="E200" s="30" t="n">
        <x:v>810</x:v>
      </x:c>
      <x:c r="F200" s="30" t="n">
        <x:v>3460</x:v>
      </x:c>
      <x:c r="G200" s="30" t="n">
        <x:v>160</x:v>
      </x:c>
      <x:c r="H200" s="30" t="n">
        <x:v>250</x:v>
      </x:c>
      <x:c r="I200" s="30" t="n">
        <x:v>150</x:v>
      </x:c>
      <x:c r="J200" s="30" t="n">
        <x:v>3.2</x:v>
      </x:c>
      <x:c r="K200" s="30" t="n">
        <x:v>494</x:v>
      </x:c>
      <x:c r="L200" s="30" t="n">
        <x:v>100</x:v>
      </x:c>
      <x:c r="M200" s="30" t="n">
        <x:v>470</x:v>
      </x:c>
      <x:c r="N200" s="30" t="n">
        <x:v>5.8</x:v>
      </x:c>
      <x:c r="O200" s="30" t="str">
        <x:v>9070</x:v>
      </x:c>
      <x:c r="P200" s="25"/>
      <x:c r="Q200" s="25"/>
      <x:c r="R200" s="25"/>
      <x:c r="S200" s="25"/>
      <x:c r="T200" s="25"/>
      <x:c r="U200" s="25"/>
      <x:c r="V200" s="25"/>
    </x:row>
    <x:row r="201">
      <x:c r="A201" s="29" t="str">
        <x:v>50002500</x:v>
      </x:c>
      <x:c r="B201" s="30" t="str">
        <x:v>AAP21/H: WARDEN</x:v>
      </x:c>
      <x:c r="C201" s="30" t="str">
        <x:v>Available</x:v>
      </x:c>
      <x:c r="D201" s="30" t="str">
        <x:v>HEAD - PCA Frame</x:v>
      </x:c>
      <x:c r="E201" s="30" t="n">
        <x:v>1045</x:v>
      </x:c>
      <x:c r="F201" s="30" t="n">
        <x:v>3040</x:v>
      </x:c>
      <x:c r="G201" s="30" t="n">
        <x:v>104</x:v>
      </x:c>
      <x:c r="H201" s="30" t="n">
        <x:v>250</x:v>
      </x:c>
      <x:c r="I201" s="30" t="n">
        <x:v>150</x:v>
      </x:c>
      <x:c r="J201" s="30" t="n">
        <x:v>2.05</x:v>
      </x:c>
      <x:c r="K201" s="30" t="n">
        <x:v>474</x:v>
      </x:c>
      <x:c r="L201" s="30" t="n">
        <x:v>100</x:v>
      </x:c>
      <x:c r="M201" s="30" t="n">
        <x:v>420</x:v>
      </x:c>
      <x:c r="N201" s="30" t="n">
        <x:v>5.4</x:v>
      </x:c>
      <x:c r="O201" s="30" t="str">
        <x:v>699</x:v>
      </x:c>
      <x:c r="P201" s="25"/>
      <x:c r="Q201" s="25"/>
      <x:c r="R201" s="25"/>
      <x:c r="S201" s="25"/>
      <x:c r="T201" s="25"/>
      <x:c r="U201" s="25"/>
      <x:c r="V201" s="25"/>
    </x:row>
    <x:row r="202">
      <x:c r="A202" s="29" t="str">
        <x:v>50020200</x:v>
      </x:c>
      <x:c r="B202" s="30" t="str">
        <x:v>EISVOGEL/44K</x:v>
      </x:c>
      <x:c r="C202" s="30" t="str">
        <x:v>Available</x:v>
      </x:c>
      <x:c r="D202" s="30" t="str">
        <x:v>HEAD - EISVOGEL</x:v>
      </x:c>
      <x:c r="E202" s="30" t="n">
        <x:v>530</x:v>
      </x:c>
      <x:c r="F202" s="30" t="n">
        <x:v>2040</x:v>
      </x:c>
      <x:c r="G202" s="30" t="n">
        <x:v>299</x:v>
      </x:c>
      <x:c r="H202" s="30" t="n">
        <x:v>250</x:v>
      </x:c>
      <x:c r="I202" s="30" t="n">
        <x:v>150</x:v>
      </x:c>
      <x:c r="J202" s="30" t="n">
        <x:v>0.25</x:v>
      </x:c>
      <x:c r="K202" s="30" t="n">
        <x:v>378</x:v>
      </x:c>
      <x:c r="L202" s="30" t="n">
        <x:v>100</x:v>
      </x:c>
      <x:c r="M202" s="30" t="n">
        <x:v>330</x:v>
      </x:c>
      <x:c r="N202" s="30" t="n">
        <x:v>6.8</x:v>
      </x:c>
      <x:c r="O202" s="30" t="str">
        <x:v>1999</x:v>
      </x:c>
      <x:c r="P202" s="25"/>
      <x:c r="Q202" s="25"/>
      <x:c r="R202" s="25"/>
      <x:c r="S202" s="25"/>
      <x:c r="T202" s="25"/>
      <x:c r="U202" s="25"/>
      <x:c r="V202" s="25"/>
    </x:row>
    <x:row r="203">
      <x:c r="A203" s="29" t="str">
        <x:v>50020300</x:v>
      </x:c>
      <x:c r="B203" s="30" t="str">
        <x:v>CRAZ-OUT-11 SERENITY</x:v>
      </x:c>
      <x:c r="C203" s="30" t="str">
        <x:v>Available</x:v>
      </x:c>
      <x:c r="D203" s="30" t="str">
        <x:v>HEAD - SERENITY</x:v>
      </x:c>
      <x:c r="E203" s="30" t="n">
        <x:v>1145</x:v>
      </x:c>
      <x:c r="F203" s="30" t="n">
        <x:v>3610</x:v>
      </x:c>
      <x:c r="G203" s="30" t="n">
        <x:v>166</x:v>
      </x:c>
      <x:c r="H203" s="30" t="n">
        <x:v>250</x:v>
      </x:c>
      <x:c r="I203" s="30" t="n">
        <x:v>150</x:v>
      </x:c>
      <x:c r="J203" s="30" t="n">
        <x:v>3.05</x:v>
      </x:c>
      <x:c r="K203" s="30" t="n">
        <x:v>478</x:v>
      </x:c>
      <x:c r="L203" s="30" t="n">
        <x:v>100</x:v>
      </x:c>
      <x:c r="M203" s="30" t="n">
        <x:v>500</x:v>
      </x:c>
      <x:c r="N203" s="30" t="n">
        <x:v>8</x:v>
      </x:c>
      <x:c r="O203" s="30" t="str">
        <x:v>8069</x:v>
      </x:c>
      <x:c r="P203" s="25"/>
      <x:c r="Q203" s="25"/>
      <x:c r="R203" s="25"/>
      <x:c r="S203" s="25"/>
      <x:c r="T203" s="25"/>
      <x:c r="U203" s="25"/>
      <x:c r="V203" s="25"/>
    </x:row>
    <x:row r="204">
      <x:c r="A204" s="29" t="str">
        <x:v>50030200</x:v>
      </x:c>
      <x:c r="B204" s="30" t="str">
        <x:v>AAP07/H: BALTEUS</x:v>
      </x:c>
      <x:c r="C204" s="30" t="str">
        <x:v>Available</x:v>
      </x:c>
      <x:c r="D204" s="30" t="str">
        <x:v>HEAD - AAP07 BALTEUS</x:v>
      </x:c>
      <x:c r="E204" s="30" t="n">
        <x:v>1220</x:v>
      </x:c>
      <x:c r="F204" s="30" t="n">
        <x:v>4200</x:v>
      </x:c>
      <x:c r="G204" s="30" t="n">
        <x:v>310</x:v>
      </x:c>
      <x:c r="H204" s="30" t="n">
        <x:v>250</x:v>
      </x:c>
      <x:c r="I204" s="30" t="n">
        <x:v>150</x:v>
      </x:c>
      <x:c r="J204" s="30" t="n">
        <x:v>1.3</x:v>
      </x:c>
      <x:c r="K204" s="30" t="n">
        <x:v>486</x:v>
      </x:c>
      <x:c r="L204" s="30" t="n">
        <x:v>100</x:v>
      </x:c>
      <x:c r="M204" s="30" t="n">
        <x:v>633</x:v>
      </x:c>
      <x:c r="N204" s="30" t="n">
        <x:v>10.2</x:v>
      </x:c>
      <x:c r="O204" s="30" t="str">
        <x:v>4020</x:v>
      </x:c>
      <x:c r="P204" s="25"/>
      <x:c r="Q204" s="25"/>
      <x:c r="R204" s="25"/>
      <x:c r="S204" s="25"/>
      <x:c r="T204" s="25"/>
      <x:c r="U204" s="25"/>
      <x:c r="V204" s="25"/>
    </x:row>
    <x:row r="205">
      <x:c r="A205" s="29" t="str">
        <x:v>50054000</x:v>
      </x:c>
      <x:c r="B205" s="30" t="str">
        <x:v>H-MOD_4 CAESAR</x:v>
      </x:c>
      <x:c r="C205" s="30" t="str">
        <x:v>Available</x:v>
      </x:c>
      <x:c r="D205" s="30" t="str">
        <x:v>HEAD - CAESAR</x:v>
      </x:c>
      <x:c r="E205" s="30" t="n">
        <x:v>810</x:v>
      </x:c>
      <x:c r="F205" s="30" t="n">
        <x:v>3250</x:v>
      </x:c>
      <x:c r="G205" s="30" t="n">
        <x:v>237</x:v>
      </x:c>
      <x:c r="H205" s="30" t="n">
        <x:v>250</x:v>
      </x:c>
      <x:c r="I205" s="30" t="n">
        <x:v>150</x:v>
      </x:c>
      <x:c r="J205" s="30" t="n">
        <x:v>1.2</x:v>
      </x:c>
      <x:c r="K205" s="30" t="n">
        <x:v>472</x:v>
      </x:c>
      <x:c r="L205" s="30" t="n">
        <x:v>100</x:v>
      </x:c>
      <x:c r="M205" s="30" t="n">
        <x:v>400</x:v>
      </x:c>
      <x:c r="N205" s="30" t="n">
        <x:v>10</x:v>
      </x:c>
      <x:c r="O205" s="30" t="str">
        <x:v>4205</x:v>
      </x:c>
      <x:c r="P205" s="25"/>
      <x:c r="Q205" s="25"/>
      <x:c r="R205" s="25"/>
      <x:c r="S205" s="25"/>
      <x:c r="T205" s="25"/>
      <x:c r="U205" s="25"/>
      <x:c r="V205" s="25"/>
    </x:row>
    <x:row r="206">
      <x:c r="A206" s="29" t="str">
        <x:v>50060900</x:v>
      </x:c>
      <x:c r="B206" s="30" t="str">
        <x:v>EL-TH-14 VALENTIA</x:v>
      </x:c>
      <x:c r="C206" s="30" t="str">
        <x:v>Available</x:v>
      </x:c>
      <x:c r="D206" s="30" t="str">
        <x:v>HEAD - EL-RC-16 GRANIZO</x:v>
      </x:c>
      <x:c r="E206" s="30" t="n">
        <x:v>1110</x:v>
      </x:c>
      <x:c r="F206" s="30" t="n">
        <x:v>2710</x:v>
      </x:c>
      <x:c r="G206" s="30" t="n">
        <x:v>201</x:v>
      </x:c>
      <x:c r="H206" s="30" t="n">
        <x:v>250</x:v>
      </x:c>
      <x:c r="I206" s="30" t="n">
        <x:v>150</x:v>
      </x:c>
      <x:c r="J206" s="30" t="n">
        <x:v>0.2</x:v>
      </x:c>
      <x:c r="K206" s="30" t="n">
        <x:v>471</x:v>
      </x:c>
      <x:c r="L206" s="30" t="n">
        <x:v>100</x:v>
      </x:c>
      <x:c r="M206" s="30" t="n">
        <x:v>310</x:v>
      </x:c>
      <x:c r="N206" s="30" t="n">
        <x:v>5</x:v>
      </x:c>
      <x:c r="O206" s="30" t="str">
        <x:v>4021</x:v>
      </x:c>
      <x:c r="P206" s="25"/>
      <x:c r="Q206" s="25"/>
      <x:c r="R206" s="25"/>
      <x:c r="S206" s="25"/>
      <x:c r="T206" s="25"/>
      <x:c r="U206" s="25"/>
      <x:c r="V206" s="25"/>
    </x:row>
    <x:row r="207">
      <x:c r="A207" s="29" t="str">
        <x:v>50070500</x:v>
      </x:c>
      <x:c r="B207" s="30" t="str">
        <x:v>HR-1000 RAVAGER</x:v>
      </x:c>
      <x:c r="C207" s="30" t="str">
        <x:v>Available</x:v>
      </x:c>
      <x:c r="D207" s="30" t="str">
        <x:v>HEAD - HR-1000 RAVAGER</x:v>
      </x:c>
      <x:c r="E207" s="30" t="n">
        <x:v>995</x:v>
      </x:c>
      <x:c r="F207" s="30" t="n">
        <x:v>3690</x:v>
      </x:c>
      <x:c r="G207" s="30" t="n">
        <x:v>288</x:v>
      </x:c>
      <x:c r="H207" s="30" t="n">
        <x:v>250</x:v>
      </x:c>
      <x:c r="I207" s="30" t="n">
        <x:v>150</x:v>
      </x:c>
      <x:c r="J207" s="30" t="n">
        <x:v>1.2</x:v>
      </x:c>
      <x:c r="K207" s="30" t="n">
        <x:v>481</x:v>
      </x:c>
      <x:c r="L207" s="30" t="n">
        <x:v>100</x:v>
      </x:c>
      <x:c r="M207" s="30" t="n">
        <x:v>500</x:v>
      </x:c>
      <x:c r="N207" s="30" t="n">
        <x:v>10.5</x:v>
      </x:c>
      <x:c r="O207" s="30" t="str">
        <x:v>621</x:v>
      </x:c>
      <x:c r="P207" s="25"/>
      <x:c r="Q207" s="25"/>
      <x:c r="R207" s="25"/>
      <x:c r="S207" s="25"/>
      <x:c r="T207" s="25"/>
      <x:c r="U207" s="25"/>
      <x:c r="V207" s="25"/>
    </x:row>
    <x:row r="208">
      <x:c r="A208" s="29" t="str">
        <x:v>50070700</x:v>
      </x:c>
      <x:c r="B208" s="30" t="str">
        <x:v>HR-1000/RC RAVAGER</x:v>
      </x:c>
      <x:c r="C208" s="30" t="str">
        <x:v>Available</x:v>
      </x:c>
      <x:c r="D208" s="30" t="str">
        <x:v>HEAD - HR-1000 RAVAGER/RC</x:v>
      </x:c>
      <x:c r="E208" s="30" t="n">
        <x:v>530</x:v>
      </x:c>
      <x:c r="F208" s="30" t="n">
        <x:v>3600</x:v>
      </x:c>
      <x:c r="G208" s="30" t="n">
        <x:v>144</x:v>
      </x:c>
      <x:c r="H208" s="30" t="n">
        <x:v>250</x:v>
      </x:c>
      <x:c r="I208" s="30" t="n">
        <x:v>150</x:v>
      </x:c>
      <x:c r="J208" s="30" t="n">
        <x:v>-0.6</x:v>
      </x:c>
      <x:c r="K208" s="30" t="n">
        <x:v>255</x:v>
      </x:c>
      <x:c r="L208" s="30" t="n">
        <x:v>100</x:v>
      </x:c>
      <x:c r="M208" s="30" t="n">
        <x:v>250</x:v>
      </x:c>
      <x:c r="N208" s="30" t="n">
        <x:v>5.5</x:v>
      </x:c>
      <x:c r="O208" s="30" t="str">
        <x:v>6210</x:v>
      </x:c>
      <x:c r="P208" s="25"/>
      <x:c r="Q208" s="25"/>
      <x:c r="R208" s="25"/>
      <x:c r="S208" s="25"/>
      <x:c r="T208" s="25"/>
      <x:c r="U208" s="25"/>
      <x:c r="V208" s="25"/>
    </x:row>
    <x:row r="209">
      <x:c r="A209" s="29" t="str">
        <x:v>50070800</x:v>
      </x:c>
      <x:c r="B209" s="30" t="str">
        <x:v>EL-LH-02 OSCURO</x:v>
      </x:c>
      <x:c r="C209" s="30" t="str">
        <x:v>Available</x:v>
      </x:c>
      <x:c r="D209" s="30" t="str">
        <x:v>HEAD - L U C A S I N C L A I R E</x:v>
      </x:c>
      <x:c r="E209" s="30" t="n">
        <x:v>870</x:v>
      </x:c>
      <x:c r="F209" s="30" t="n">
        <x:v>3060</x:v>
      </x:c>
      <x:c r="G209" s="30" t="n">
        <x:v>164</x:v>
      </x:c>
      <x:c r="H209" s="30" t="n">
        <x:v>250</x:v>
      </x:c>
      <x:c r="I209" s="30" t="n">
        <x:v>150</x:v>
      </x:c>
      <x:c r="J209" s="30" t="n">
        <x:v>4</x:v>
      </x:c>
      <x:c r="K209" s="30" t="n">
        <x:v>479</x:v>
      </x:c>
      <x:c r="L209" s="30" t="n">
        <x:v>100</x:v>
      </x:c>
      <x:c r="M209" s="30" t="n">
        <x:v>650</x:v>
      </x:c>
      <x:c r="N209" s="30" t="n">
        <x:v>4</x:v>
      </x:c>
      <x:c r="O209" s="30" t="str">
        <x:v>8823</x:v>
      </x:c>
      <x:c r="P209" s="25"/>
      <x:c r="Q209" s="25"/>
      <x:c r="R209" s="25"/>
      <x:c r="S209" s="25"/>
      <x:c r="T209" s="25"/>
      <x:c r="U209" s="25"/>
      <x:c r="V209" s="25"/>
    </x:row>
    <x:row r="210">
      <x:c r="A210" s="29" t="str">
        <x:v>50074100</x:v>
      </x:c>
      <x:c r="B210" s="30" t="str">
        <x:v>MAD-E-N-66-DO HYSTERIC</x:v>
      </x:c>
      <x:c r="C210" s="30" t="str">
        <x:v>Available</x:v>
      </x:c>
      <x:c r="D210" s="30" t="str">
        <x:v>HEAD - Hysteric</x:v>
      </x:c>
      <x:c r="E210" s="30" t="n">
        <x:v>344</x:v>
      </x:c>
      <x:c r="F210" s="30" t="n">
        <x:v>1710</x:v>
      </x:c>
      <x:c r="G210" s="30" t="n">
        <x:v>124</x:v>
      </x:c>
      <x:c r="H210" s="30" t="n">
        <x:v>250</x:v>
      </x:c>
      <x:c r="I210" s="30" t="n">
        <x:v>150</x:v>
      </x:c>
      <x:c r="J210" s="30" t="n">
        <x:v>-1.2</x:v>
      </x:c>
      <x:c r="K210" s="30" t="n">
        <x:v>267</x:v>
      </x:c>
      <x:c r="L210" s="30" t="n">
        <x:v>100</x:v>
      </x:c>
      <x:c r="M210" s="30" t="n">
        <x:v>390</x:v>
      </x:c>
      <x:c r="N210" s="30" t="n">
        <x:v>3.4</x:v>
      </x:c>
      <x:c r="O210" s="30" t="str">
        <x:v>2012</x:v>
      </x:c>
      <x:c r="P210" s="25"/>
      <x:c r="Q210" s="25"/>
      <x:c r="R210" s="25"/>
      <x:c r="S210" s="25"/>
      <x:c r="T210" s="25"/>
      <x:c r="U210" s="25"/>
      <x:c r="V210" s="25"/>
    </x:row>
    <x:row r="211">
      <x:c r="A211" s="29" t="str">
        <x:v>50074200</x:v>
      </x:c>
      <x:c r="B211" s="30" t="str">
        <x:v>MAD-GO-00-N-ER LUDICROUS</x:v>
      </x:c>
      <x:c r="C211" s="30" t="str">
        <x:v>Available</x:v>
      </x:c>
      <x:c r="D211" s="30" t="str">
        <x:v>HEAD - Ludicrous</x:v>
      </x:c>
      <x:c r="E211" s="30" t="n">
        <x:v>577</x:v>
      </x:c>
      <x:c r="F211" s="30" t="n">
        <x:v>3170</x:v>
      </x:c>
      <x:c r="G211" s="30" t="n">
        <x:v>298</x:v>
      </x:c>
      <x:c r="H211" s="30" t="n">
        <x:v>250</x:v>
      </x:c>
      <x:c r="I211" s="30" t="n">
        <x:v>150</x:v>
      </x:c>
      <x:c r="J211" s="30" t="n">
        <x:v>2.6</x:v>
      </x:c>
      <x:c r="K211" s="30" t="n">
        <x:v>367</x:v>
      </x:c>
      <x:c r="L211" s="30" t="n">
        <x:v>100</x:v>
      </x:c>
      <x:c r="M211" s="30" t="n">
        <x:v>300</x:v>
      </x:c>
      <x:c r="N211" s="30" t="n">
        <x:v>1</x:v>
      </x:c>
      <x:c r="O211" s="30" t="str">
        <x:v>9991</x:v>
      </x:c>
      <x:c r="P211" s="25"/>
      <x:c r="Q211" s="25"/>
      <x:c r="R211" s="25"/>
      <x:c r="S211" s="25"/>
      <x:c r="T211" s="25"/>
      <x:c r="U211" s="25"/>
      <x:c r="V211" s="25"/>
    </x:row>
    <x:row r="212">
      <x:c r="A212" s="29" t="str">
        <x:v>50080400</x:v>
      </x:c>
      <x:c r="B212" s="30" t="str">
        <x:v>MAD-FL-34-G-HD NIGHTMARISH</x:v>
      </x:c>
      <x:c r="C212" s="30" t="str">
        <x:v>Available</x:v>
      </x:c>
      <x:c r="D212" s="30" t="str">
        <x:v>HEAD - NIGHTMARE</x:v>
      </x:c>
      <x:c r="E212" s="30" t="n">
        <x:v>790</x:v>
      </x:c>
      <x:c r="F212" s="30" t="n">
        <x:v>3590</x:v>
      </x:c>
      <x:c r="G212" s="30" t="n">
        <x:v>235</x:v>
      </x:c>
      <x:c r="H212" s="30" t="n">
        <x:v>250</x:v>
      </x:c>
      <x:c r="I212" s="30" t="n">
        <x:v>150</x:v>
      </x:c>
      <x:c r="J212" s="30" t="n">
        <x:v>0</x:v>
      </x:c>
      <x:c r="K212" s="30" t="n">
        <x:v>489</x:v>
      </x:c>
      <x:c r="L212" s="30" t="n">
        <x:v>100</x:v>
      </x:c>
      <x:c r="M212" s="30" t="n">
        <x:v>530</x:v>
      </x:c>
      <x:c r="N212" s="30" t="n">
        <x:v>12</x:v>
      </x:c>
      <x:c r="O212" s="30" t="str">
        <x:v>1034</x:v>
      </x:c>
      <x:c r="P212" s="25"/>
      <x:c r="Q212" s="25"/>
      <x:c r="R212" s="25"/>
      <x:c r="S212" s="25"/>
      <x:c r="T212" s="25"/>
      <x:c r="U212" s="25"/>
      <x:c r="V212" s="25"/>
    </x:row>
    <x:row r="213">
      <x:c r="A213" s="29" t="str">
        <x:v>50080500</x:v>
      </x:c>
      <x:c r="B213" s="30" t="str">
        <x:v>FV1M01 BASILISK</x:v>
      </x:c>
      <x:c r="C213" s="30" t="str">
        <x:v>Available</x:v>
      </x:c>
      <x:c r="D213" s="30" t="str">
        <x:v>HEAD - DRAGON</x:v>
      </x:c>
      <x:c r="E213" s="30" t="n">
        <x:v>900</x:v>
      </x:c>
      <x:c r="F213" s="30" t="n">
        <x:v>2970</x:v>
      </x:c>
      <x:c r="G213" s="30" t="n">
        <x:v>200</x:v>
      </x:c>
      <x:c r="H213" s="30" t="n">
        <x:v>250</x:v>
      </x:c>
      <x:c r="I213" s="30" t="n">
        <x:v>150</x:v>
      </x:c>
      <x:c r="J213" s="30" t="n">
        <x:v>1</x:v>
      </x:c>
      <x:c r="K213" s="30" t="n">
        <x:v>388</x:v>
      </x:c>
      <x:c r="L213" s="30" t="n">
        <x:v>100</x:v>
      </x:c>
      <x:c r="M213" s="30" t="n">
        <x:v>490</x:v>
      </x:c>
      <x:c r="N213" s="30" t="n">
        <x:v>17.3</x:v>
      </x:c>
      <x:c r="O213" s="30" t="str">
        <x:v>8152</x:v>
      </x:c>
      <x:c r="P213" s="25"/>
      <x:c r="Q213" s="25"/>
      <x:c r="R213" s="25"/>
      <x:c r="S213" s="25"/>
      <x:c r="T213" s="25"/>
      <x:c r="U213" s="25"/>
      <x:c r="V213" s="25"/>
    </x:row>
    <x:row r="214">
      <x:c r="A214" s="29" t="str">
        <x:v>50080600</x:v>
      </x:c>
      <x:c r="B214" s="30" t="str">
        <x:v>HX-31 JOEL</x:v>
      </x:c>
      <x:c r="C214" s="30" t="str">
        <x:v>Available</x:v>
      </x:c>
      <x:c r="D214" s="30" t="str">
        <x:v>HEAD - TIAMAT</x:v>
      </x:c>
      <x:c r="E214" s="30" t="n">
        <x:v>2100</x:v>
      </x:c>
      <x:c r="F214" s="30" t="n">
        <x:v>6340</x:v>
      </x:c>
      <x:c r="G214" s="30" t="n">
        <x:v>236</x:v>
      </x:c>
      <x:c r="H214" s="30" t="n">
        <x:v>250</x:v>
      </x:c>
      <x:c r="I214" s="30" t="n">
        <x:v>150</x:v>
      </x:c>
      <x:c r="J214" s="30" t="n">
        <x:v>2.8</x:v>
      </x:c>
      <x:c r="K214" s="30" t="n">
        <x:v>470</x:v>
      </x:c>
      <x:c r="L214" s="30" t="n">
        <x:v>100</x:v>
      </x:c>
      <x:c r="M214" s="30" t="n">
        <x:v>730</x:v>
      </x:c>
      <x:c r="N214" s="30" t="n">
        <x:v>15</x:v>
      </x:c>
      <x:c r="O214" s="30" t="str">
        <x:v>1230</x:v>
      </x:c>
      <x:c r="P214" s="25"/>
      <x:c r="Q214" s="25"/>
      <x:c r="R214" s="25"/>
      <x:c r="S214" s="25"/>
      <x:c r="T214" s="25"/>
      <x:c r="U214" s="25"/>
      <x:c r="V214" s="25"/>
    </x:row>
    <x:row r="215">
      <x:c r="A215" s="29" t="str">
        <x:v>50080700</x:v>
      </x:c>
      <x:c r="B215" s="30" t="str">
        <x:v>H-MOD_14 LANISTA</x:v>
      </x:c>
      <x:c r="C215" s="30" t="str">
        <x:v>Available</x:v>
      </x:c>
      <x:c r="D215" s="30" t="str">
        <x:v>HEAD - LANISTA</x:v>
      </x:c>
      <x:c r="E215" s="30" t="n">
        <x:v>1100</x:v>
      </x:c>
      <x:c r="F215" s="30" t="n">
        <x:v>4330</x:v>
      </x:c>
      <x:c r="G215" s="30" t="n">
        <x:v>170</x:v>
      </x:c>
      <x:c r="H215" s="30" t="n">
        <x:v>250</x:v>
      </x:c>
      <x:c r="I215" s="30" t="n">
        <x:v>150</x:v>
      </x:c>
      <x:c r="J215" s="30" t="n">
        <x:v>3</x:v>
      </x:c>
      <x:c r="K215" s="30" t="n">
        <x:v>489</x:v>
      </x:c>
      <x:c r="L215" s="30" t="n">
        <x:v>100</x:v>
      </x:c>
      <x:c r="M215" s="30" t="n">
        <x:v>410</x:v>
      </x:c>
      <x:c r="N215" s="30" t="n">
        <x:v>10</x:v>
      </x:c>
      <x:c r="O215" s="30" t="str">
        <x:v>4848</x:v>
      </x:c>
      <x:c r="P215" s="25"/>
      <x:c r="Q215" s="25"/>
      <x:c r="R215" s="25"/>
      <x:c r="S215" s="25"/>
      <x:c r="T215" s="25"/>
      <x:c r="U215" s="25"/>
      <x:c r="V215" s="25"/>
    </x:row>
    <x:row r="216">
      <x:c r="A216" s="29" t="str">
        <x:v>50080800</x:v>
      </x:c>
      <x:c r="B216" s="30" t="str">
        <x:v>H-MOD_5-8 DOMINUS</x:v>
      </x:c>
      <x:c r="C216" s="30" t="str">
        <x:v>Available</x:v>
      </x:c>
      <x:c r="D216" s="30" t="str">
        <x:v>HEAD - DOMINUS</x:v>
      </x:c>
      <x:c r="E216" s="30" t="n">
        <x:v>355</x:v>
      </x:c>
      <x:c r="F216" s="30" t="n">
        <x:v>2030</x:v>
      </x:c>
      <x:c r="G216" s="30" t="n">
        <x:v>177</x:v>
      </x:c>
      <x:c r="H216" s="30" t="n">
        <x:v>250</x:v>
      </x:c>
      <x:c r="I216" s="30" t="n">
        <x:v>150</x:v>
      </x:c>
      <x:c r="J216" s="30" t="n">
        <x:v>-1.1</x:v>
      </x:c>
      <x:c r="K216" s="30" t="n">
        <x:v>522</x:v>
      </x:c>
      <x:c r="L216" s="30" t="n">
        <x:v>100</x:v>
      </x:c>
      <x:c r="M216" s="30" t="n">
        <x:v>310</x:v>
      </x:c>
      <x:c r="N216" s="30" t="n">
        <x:v>6</x:v>
      </x:c>
      <x:c r="O216" s="30" t="str">
        <x:v>2244</x:v>
      </x:c>
      <x:c r="P216" s="25"/>
      <x:c r="Q216" s="25"/>
      <x:c r="R216" s="25"/>
      <x:c r="S216" s="25"/>
      <x:c r="T216" s="25"/>
      <x:c r="U216" s="25"/>
      <x:c r="V216" s="25"/>
    </x:row>
    <x:row r="217">
      <x:c r="A217" s="29" t="str">
        <x:v>50081400</x:v>
      </x:c>
      <x:c r="B217" s="30" t="str">
        <x:v>H-MOD_1 [0] IANITOR</x:v>
      </x:c>
      <x:c r="C217" s="30" t="str">
        <x:v>Available</x:v>
      </x:c>
      <x:c r="D217" s="30" t="str">
        <x:v>HEAD - IANITOR</x:v>
      </x:c>
      <x:c r="E217" s="30" t="n">
        <x:v>470</x:v>
      </x:c>
      <x:c r="F217" s="30" t="n">
        <x:v>1680</x:v>
      </x:c>
      <x:c r="G217" s="30" t="n">
        <x:v>190</x:v>
      </x:c>
      <x:c r="H217" s="30" t="n">
        <x:v>250</x:v>
      </x:c>
      <x:c r="I217" s="30" t="n">
        <x:v>150</x:v>
      </x:c>
      <x:c r="J217" s="30" t="n">
        <x:v>-1.9</x:v>
      </x:c>
      <x:c r="K217" s="30" t="n">
        <x:v>358</x:v>
      </x:c>
      <x:c r="L217" s="30" t="n">
        <x:v>100</x:v>
      </x:c>
      <x:c r="M217" s="30" t="n">
        <x:v>320</x:v>
      </x:c>
      <x:c r="N217" s="30" t="n">
        <x:v>13.5</x:v>
      </x:c>
      <x:c r="O217" s="30" t="str">
        <x:v>5005</x:v>
      </x:c>
      <x:c r="P217" s="25"/>
      <x:c r="Q217" s="25"/>
      <x:c r="R217" s="25"/>
      <x:c r="S217" s="25"/>
      <x:c r="T217" s="25"/>
      <x:c r="U217" s="25"/>
      <x:c r="V217" s="25"/>
    </x:row>
    <x:row r="218">
      <x:c r="A218" s="29" t="str">
        <x:v>50082700</x:v>
      </x:c>
      <x:c r="B218" s="30" t="str">
        <x:v>ABENDGANS/44T</x:v>
      </x:c>
      <x:c r="C218" s="30" t="str">
        <x:v>Available</x:v>
      </x:c>
      <x:c r="D218" s="30" t="str">
        <x:v>HEAD - FRAGILE</x:v>
      </x:c>
      <x:c r="E218" s="30" t="n">
        <x:v>290</x:v>
      </x:c>
      <x:c r="F218" s="30" t="n">
        <x:v>1160</x:v>
      </x:c>
      <x:c r="G218" s="30" t="n">
        <x:v>194</x:v>
      </x:c>
      <x:c r="H218" s="30" t="n">
        <x:v>250</x:v>
      </x:c>
      <x:c r="I218" s="30" t="n">
        <x:v>150</x:v>
      </x:c>
      <x:c r="J218" s="30" t="n">
        <x:v>-1.5</x:v>
      </x:c>
      <x:c r="K218" s="30" t="n">
        <x:v>310</x:v>
      </x:c>
      <x:c r="L218" s="30" t="n">
        <x:v>100</x:v>
      </x:c>
      <x:c r="M218" s="30" t="n">
        <x:v>320</x:v>
      </x:c>
      <x:c r="N218" s="30" t="n">
        <x:v>3.6</x:v>
      </x:c>
      <x:c r="O218" s="30" t="str">
        <x:v>8890</x:v>
      </x:c>
      <x:c r="P218" s="25"/>
      <x:c r="Q218" s="25"/>
      <x:c r="R218" s="25"/>
      <x:c r="S218" s="25"/>
      <x:c r="T218" s="25"/>
      <x:c r="U218" s="25"/>
      <x:c r="V218" s="25"/>
    </x:row>
    <x:row r="219">
      <x:c r="A219" s="29" t="str">
        <x:v>50888800</x:v>
      </x:c>
      <x:c r="B219" s="30" t="str">
        <x:v>FV1M79 QUETZALCOATL</x:v>
      </x:c>
      <x:c r="C219" s="30" t="str">
        <x:v>Available</x:v>
      </x:c>
      <x:c r="D219" s="30" t="str">
        <x:v>HEAD - Poorly Disguised Scalie</x:v>
      </x:c>
      <x:c r="E219" s="30" t="n">
        <x:v>880</x:v>
      </x:c>
      <x:c r="F219" s="30" t="n">
        <x:v>3370</x:v>
      </x:c>
      <x:c r="G219" s="30" t="n">
        <x:v>211</x:v>
      </x:c>
      <x:c r="H219" s="30" t="n">
        <x:v>250</x:v>
      </x:c>
      <x:c r="I219" s="30" t="n">
        <x:v>150</x:v>
      </x:c>
      <x:c r="J219" s="30" t="n">
        <x:v>3.9</x:v>
      </x:c>
      <x:c r="K219" s="30" t="n">
        <x:v>475</x:v>
      </x:c>
      <x:c r="L219" s="30" t="n">
        <x:v>100</x:v>
      </x:c>
      <x:c r="M219" s="30" t="n">
        <x:v>530</x:v>
      </x:c>
      <x:c r="N219" s="30" t="n">
        <x:v>6</x:v>
      </x:c>
      <x:c r="O219" s="30" t="str">
        <x:v>4444</x:v>
      </x:c>
      <x:c r="P219" s="25"/>
      <x:c r="Q219" s="25"/>
      <x:c r="R219" s="25"/>
      <x:c r="S219" s="25"/>
      <x:c r="T219" s="25"/>
      <x:c r="U219" s="25"/>
      <x:c r="V219" s="25"/>
    </x:row>
    <x:row r="220">
      <x:c r="A220" s="29" t="str">
        <x:v>50888900</x:v>
      </x:c>
      <x:c r="B220" s="30" t="str">
        <x:v>EL-DH-04 AVISPA</x:v>
      </x:c>
      <x:c r="C220" s="30" t="str">
        <x:v>Available</x:v>
      </x:c>
      <x:c r="D220" s="30" t="str">
        <x:v>HEAD - Avispa</x:v>
      </x:c>
      <x:c r="E220" s="30" t="n">
        <x:v>545</x:v>
      </x:c>
      <x:c r="F220" s="30" t="n">
        <x:v>2480</x:v>
      </x:c>
      <x:c r="G220" s="30" t="n">
        <x:v>141</x:v>
      </x:c>
      <x:c r="H220" s="30" t="n">
        <x:v>250</x:v>
      </x:c>
      <x:c r="I220" s="30" t="n">
        <x:v>150</x:v>
      </x:c>
      <x:c r="J220" s="30" t="n">
        <x:v>-1.3</x:v>
      </x:c>
      <x:c r="K220" s="30" t="n">
        <x:v>480</x:v>
      </x:c>
      <x:c r="L220" s="30" t="n">
        <x:v>100</x:v>
      </x:c>
      <x:c r="M220" s="30" t="n">
        <x:v>355</x:v>
      </x:c>
      <x:c r="N220" s="30" t="n">
        <x:v>12.8</x:v>
      </x:c>
      <x:c r="O220" s="30" t="str">
        <x:v>7140</x:v>
      </x:c>
      <x:c r="P220" s="25"/>
      <x:c r="Q220" s="25"/>
      <x:c r="R220" s="25"/>
      <x:c r="S220" s="25"/>
      <x:c r="T220" s="25"/>
      <x:c r="U220" s="25"/>
      <x:c r="V220" s="25"/>
    </x:row>
    <x:row r="221">
      <x:c r="A221" s="29" t="str">
        <x:v>50889000</x:v>
      </x:c>
      <x:c r="B221" s="30" t="str">
        <x:v>HX-24 ISAIAH</x:v>
      </x:c>
      <x:c r="C221" s="30" t="str">
        <x:v>Available</x:v>
      </x:c>
      <x:c r="D221" s="30" t="str">
        <x:v>HEAD - ISAIAH</x:v>
      </x:c>
      <x:c r="E221" s="30" t="n">
        <x:v>1085</x:v>
      </x:c>
      <x:c r="F221" s="30" t="n">
        <x:v>3440</x:v>
      </x:c>
      <x:c r="G221" s="30" t="n">
        <x:v>172</x:v>
      </x:c>
      <x:c r="H221" s="30" t="n">
        <x:v>250</x:v>
      </x:c>
      <x:c r="I221" s="30" t="n">
        <x:v>150</x:v>
      </x:c>
      <x:c r="J221" s="30" t="n">
        <x:v>1</x:v>
      </x:c>
      <x:c r="K221" s="30" t="n">
        <x:v>420</x:v>
      </x:c>
      <x:c r="L221" s="30" t="n">
        <x:v>100</x:v>
      </x:c>
      <x:c r="M221" s="30" t="n">
        <x:v>330</x:v>
      </x:c>
      <x:c r="N221" s="30" t="n">
        <x:v>14</x:v>
      </x:c>
      <x:c r="O221" s="30" t="str">
        <x:v>4737</x:v>
      </x:c>
      <x:c r="P221" s="25"/>
      <x:c r="Q221" s="25"/>
      <x:c r="R221" s="25"/>
      <x:c r="S221" s="25"/>
      <x:c r="T221" s="25"/>
      <x:c r="U221" s="25"/>
      <x:c r="V221" s="25"/>
    </x:row>
    <x:row r="222">
      <x:c r="A222" s="29" t="str">
        <x:v>50889100</x:v>
      </x:c>
      <x:c r="B222" s="30" t="str">
        <x:v>HX-26 BARNABAS</x:v>
      </x:c>
      <x:c r="C222" s="30" t="str">
        <x:v>Available</x:v>
      </x:c>
      <x:c r="D222" s="30" t="str">
        <x:v>HEAD - BARNABAS</x:v>
      </x:c>
      <x:c r="E222" s="30" t="n">
        <x:v>833</x:v>
      </x:c>
      <x:c r="F222" s="30" t="n">
        <x:v>2466</x:v>
      </x:c>
      <x:c r="G222" s="30" t="n">
        <x:v>207</x:v>
      </x:c>
      <x:c r="H222" s="30" t="n">
        <x:v>250</x:v>
      </x:c>
      <x:c r="I222" s="30" t="n">
        <x:v>150</x:v>
      </x:c>
      <x:c r="J222" s="30" t="n">
        <x:v>-0.8</x:v>
      </x:c>
      <x:c r="K222" s="30" t="n">
        <x:v>417</x:v>
      </x:c>
      <x:c r="L222" s="30" t="n">
        <x:v>100</x:v>
      </x:c>
      <x:c r="M222" s="30" t="n">
        <x:v>400</x:v>
      </x:c>
      <x:c r="N222" s="30" t="n">
        <x:v>7</x:v>
      </x:c>
      <x:c r="O222" s="30" t="str">
        <x:v>7770</x:v>
      </x:c>
      <x:c r="P222" s="25"/>
      <x:c r="Q222" s="25"/>
      <x:c r="R222" s="25"/>
      <x:c r="S222" s="25"/>
      <x:c r="T222" s="25"/>
      <x:c r="U222" s="25"/>
      <x:c r="V222" s="25"/>
    </x:row>
    <x:row r="223">
      <x:c r="A223" s="29" t="str">
        <x:v>50889200</x:v>
      </x:c>
      <x:c r="B223" s="30" t="str">
        <x:v>HD-ZWEIHANDER</x:v>
      </x:c>
      <x:c r="C223" s="30" t="str">
        <x:v>Available</x:v>
      </x:c>
      <x:c r="D223" s="30" t="str">
        <x:v>HEAD - Armoury Reference</x:v>
      </x:c>
      <x:c r="E223" s="30" t="n">
        <x:v>1600</x:v>
      </x:c>
      <x:c r="F223" s="30" t="n">
        <x:v>3731</x:v>
      </x:c>
      <x:c r="G223" s="30" t="n">
        <x:v>98</x:v>
      </x:c>
      <x:c r="H223" s="30" t="n">
        <x:v>250</x:v>
      </x:c>
      <x:c r="I223" s="30" t="n">
        <x:v>150</x:v>
      </x:c>
      <x:c r="J223" s="30" t="n">
        <x:v>-1.63</x:v>
      </x:c>
      <x:c r="K223" s="30" t="n">
        <x:v>490</x:v>
      </x:c>
      <x:c r="L223" s="30" t="n">
        <x:v>100</x:v>
      </x:c>
      <x:c r="M223" s="30" t="n">
        <x:v>280</x:v>
      </x:c>
      <x:c r="N223" s="30" t="n">
        <x:v>4.6</x:v>
      </x:c>
      <x:c r="O223" s="30" t="str">
        <x:v>4414</x:v>
      </x:c>
      <x:c r="P223" s="25"/>
      <x:c r="Q223" s="25"/>
      <x:c r="R223" s="25"/>
      <x:c r="S223" s="25"/>
      <x:c r="T223" s="25"/>
      <x:c r="U223" s="25"/>
      <x:c r="V223" s="25"/>
    </x:row>
    <x:row r="224">
      <x:c r="A224" s="29" t="str">
        <x:v>50889300</x:v>
      </x:c>
      <x:c r="B224" s="30" t="str">
        <x:v>H-MOD_11 IMPERATOR</x:v>
      </x:c>
      <x:c r="C224" s="30" t="str">
        <x:v>Available</x:v>
      </x:c>
      <x:c r="D224" s="30" t="str">
        <x:v>HEAD - Imperator</x:v>
      </x:c>
      <x:c r="E224" s="30" t="n">
        <x:v>1450</x:v>
      </x:c>
      <x:c r="F224" s="30" t="n">
        <x:v>4050</x:v>
      </x:c>
      <x:c r="G224" s="30" t="n">
        <x:v>254</x:v>
      </x:c>
      <x:c r="H224" s="30" t="n">
        <x:v>250</x:v>
      </x:c>
      <x:c r="I224" s="30" t="n">
        <x:v>150</x:v>
      </x:c>
      <x:c r="J224" s="30" t="n">
        <x:v>3.95</x:v>
      </x:c>
      <x:c r="K224" s="30" t="n">
        <x:v>475</x:v>
      </x:c>
      <x:c r="L224" s="30" t="n">
        <x:v>100</x:v>
      </x:c>
      <x:c r="M224" s="30" t="n">
        <x:v>444</x:v>
      </x:c>
      <x:c r="N224" s="30" t="n">
        <x:v>10</x:v>
      </x:c>
      <x:c r="O224" s="30" t="str">
        <x:v>4477</x:v>
      </x:c>
      <x:c r="P224" s="25"/>
      <x:c r="Q224" s="25"/>
      <x:c r="R224" s="25"/>
      <x:c r="S224" s="25"/>
      <x:c r="T224" s="25"/>
      <x:c r="U224" s="25"/>
      <x:c r="V224" s="25"/>
    </x:row>
    <x:row r="225">
      <x:c r="A225" s="29" t="str">
        <x:v>50889400</x:v>
      </x:c>
      <x:c r="B225" s="30" t="str">
        <x:v>AAP03/H: ENFORCER</x:v>
      </x:c>
      <x:c r="C225" s="30" t="str">
        <x:v>Available</x:v>
      </x:c>
      <x:c r="D225" s="30" t="str">
        <x:v>HEAD - Enforcer</x:v>
      </x:c>
      <x:c r="E225" s="30" t="n">
        <x:v>970</x:v>
      </x:c>
      <x:c r="F225" s="30" t="n">
        <x:v>3400</x:v>
      </x:c>
      <x:c r="G225" s="30" t="n">
        <x:v>226</x:v>
      </x:c>
      <x:c r="H225" s="30" t="n">
        <x:v>250</x:v>
      </x:c>
      <x:c r="I225" s="30" t="n">
        <x:v>150</x:v>
      </x:c>
      <x:c r="J225" s="30" t="n">
        <x:v>1</x:v>
      </x:c>
      <x:c r="K225" s="30" t="n">
        <x:v>503</x:v>
      </x:c>
      <x:c r="L225" s="30" t="n">
        <x:v>100</x:v>
      </x:c>
      <x:c r="M225" s="30" t="n">
        <x:v>500</x:v>
      </x:c>
      <x:c r="N225" s="30" t="n">
        <x:v>14</x:v>
      </x:c>
      <x:c r="O225" s="30" t="str">
        <x:v>3311</x:v>
      </x:c>
      <x:c r="P225" s="25"/>
      <x:c r="Q225" s="25"/>
      <x:c r="R225" s="25"/>
      <x:c r="S225" s="25"/>
      <x:c r="T225" s="25"/>
      <x:c r="U225" s="25"/>
      <x:c r="V225" s="25"/>
    </x:row>
    <x:row r="226">
      <x:c r="A226" s="29" t="str">
        <x:v>50889500</x:v>
      </x:c>
      <x:c r="B226" s="30" t="str">
        <x:v>HX-29 NOAH</x:v>
      </x:c>
      <x:c r="C226" s="30" t="str">
        <x:v>Available</x:v>
      </x:c>
      <x:c r="D226" s="30" t="str">
        <x:v>HEAD - Noah</x:v>
      </x:c>
      <x:c r="E226" s="30" t="n">
        <x:v>1900</x:v>
      </x:c>
      <x:c r="F226" s="30" t="n">
        <x:v>4100</x:v>
      </x:c>
      <x:c r="G226" s="30" t="n">
        <x:v>115</x:v>
      </x:c>
      <x:c r="H226" s="30" t="n">
        <x:v>250</x:v>
      </x:c>
      <x:c r="I226" s="30" t="n">
        <x:v>150</x:v>
      </x:c>
      <x:c r="J226" s="30" t="n">
        <x:v>3.3</x:v>
      </x:c>
      <x:c r="K226" s="30" t="n">
        <x:v>390</x:v>
      </x:c>
      <x:c r="L226" s="30" t="n">
        <x:v>100</x:v>
      </x:c>
      <x:c r="M226" s="30" t="n">
        <x:v>400</x:v>
      </x:c>
      <x:c r="N226" s="30" t="n">
        <x:v>8</x:v>
      </x:c>
      <x:c r="O226" s="30" t="str">
        <x:v>2005</x:v>
      </x:c>
      <x:c r="P226" s="25"/>
      <x:c r="Q226" s="25"/>
      <x:c r="R226" s="25"/>
      <x:c r="S226" s="25"/>
      <x:c r="T226" s="25"/>
      <x:c r="U226" s="25"/>
      <x:c r="V226" s="25"/>
    </x:row>
    <x:row r="227">
      <x:c r="A227" s="29" t="str">
        <x:v>50889600</x:v>
      </x:c>
      <x:c r="B227" s="30" t="str">
        <x:v>H-MOD_18 PRAETOR</x:v>
      </x:c>
      <x:c r="C227" s="30" t="str">
        <x:v>Available</x:v>
      </x:c>
      <x:c r="D227" s="30" t="str">
        <x:v>HEAD - Praetor</x:v>
      </x:c>
      <x:c r="E227" s="30" t="n">
        <x:v>800</x:v>
      </x:c>
      <x:c r="F227" s="30" t="n">
        <x:v>3050</x:v>
      </x:c>
      <x:c r="G227" s="30" t="n">
        <x:v>225</x:v>
      </x:c>
      <x:c r="H227" s="30" t="n">
        <x:v>250</x:v>
      </x:c>
      <x:c r="I227" s="30" t="n">
        <x:v>150</x:v>
      </x:c>
      <x:c r="J227" s="30" t="n">
        <x:v>1.5</x:v>
      </x:c>
      <x:c r="K227" s="30" t="n">
        <x:v>485</x:v>
      </x:c>
      <x:c r="L227" s="30" t="n">
        <x:v>100</x:v>
      </x:c>
      <x:c r="M227" s="30" t="n">
        <x:v>340</x:v>
      </x:c>
      <x:c r="N227" s="30" t="n">
        <x:v>11</x:v>
      </x:c>
      <x:c r="O227" s="30" t="str">
        <x:v>8420</x:v>
      </x:c>
      <x:c r="P227" s="25"/>
      <x:c r="Q227" s="25"/>
      <x:c r="R227" s="25"/>
      <x:c r="S227" s="25"/>
      <x:c r="T227" s="25"/>
      <x:c r="U227" s="25"/>
      <x:c r="V227" s="25"/>
    </x:row>
    <x:row r="228">
      <x:c r="A228" s="31" t="str">
        <x:v>99900000</x:v>
      </x:c>
      <x:c r="B228" s="32" t="str">
        <x:v>HC-2000 MANGLED EYE</x:v>
      </x:c>
      <x:c r="C228" s="32" t="str">
        <x:v>Available</x:v>
      </x:c>
      <x:c r="D228" s="32" t="str">
        <x:v>HEAD [NPC] - HC-2000 FINDER EYE (Damaged)</x:v>
      </x:c>
      <x:c r="E228" s="32" t="n">
        <x:v>660</x:v>
      </x:c>
      <x:c r="F228" s="32" t="n">
        <x:v>3000</x:v>
      </x:c>
      <x:c r="G228" s="32" t="n">
        <x:v>79</x:v>
      </x:c>
      <x:c r="H228" s="32" t="n">
        <x:v>250</x:v>
      </x:c>
      <x:c r="I228" s="32" t="n">
        <x:v>150</x:v>
      </x:c>
      <x:c r="J228" s="32" t="n">
        <x:v>-0.95</x:v>
      </x:c>
      <x:c r="K228" s="32" t="n">
        <x:v>259</x:v>
      </x:c>
      <x:c r="L228" s="32" t="n">
        <x:v>100</x:v>
      </x:c>
      <x:c r="M228" s="32" t="n">
        <x:v>450</x:v>
      </x:c>
      <x:c r="N228" s="32" t="n">
        <x:v>7</x:v>
      </x:c>
      <x:c r="O228" s="32" t="str">
        <x:v>9400</x:v>
      </x:c>
      <x:c r="P228" s="25"/>
      <x:c r="Q228" s="25"/>
      <x:c r="R228" s="25"/>
      <x:c r="S228" s="25"/>
      <x:c r="T228" s="25"/>
      <x:c r="U228" s="25"/>
      <x:c r="V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  <x:c r="I229" s="25"/>
      <x:c r="J229" s="25"/>
      <x:c r="K229" s="25"/>
      <x:c r="L229" s="25"/>
      <x:c r="M229" s="25"/>
      <x:c r="N229" s="25"/>
      <x:c r="O229" s="25"/>
      <x:c r="P229" s="25"/>
      <x:c r="Q229" s="25"/>
      <x:c r="R229" s="25"/>
      <x:c r="S229" s="25"/>
      <x:c r="T229" s="25"/>
      <x:c r="U229" s="25"/>
      <x:c r="V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  <x:c r="I230" s="25"/>
      <x:c r="J230" s="25"/>
      <x:c r="K230" s="25"/>
      <x:c r="L230" s="25"/>
      <x:c r="M230" s="25"/>
      <x:c r="N230" s="25"/>
      <x:c r="O230" s="25"/>
      <x:c r="P230" s="25"/>
      <x:c r="Q230" s="25"/>
      <x:c r="R230" s="25"/>
      <x:c r="S230" s="25"/>
      <x:c r="T230" s="25"/>
      <x:c r="U230" s="25"/>
      <x:c r="V230" s="25"/>
    </x:row>
    <x:row r="231" ht="25" customHeight="1">
      <x:c r="A231" s="41" t="str">
        <x:v>Armor — Core  •  32 parts</x:v>
      </x:c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25"/>
      <x:c r="Q231" s="25"/>
      <x:c r="R231" s="25"/>
      <x:c r="S231" s="25"/>
      <x:c r="T231" s="25"/>
      <x:c r="U231" s="25"/>
      <x:c r="V231" s="25"/>
    </x:row>
    <x:row r="232" ht="32" customHeight="1">
      <x:c r="A232" s="42" t="str">
        <x:v>ID</x:v>
      </x:c>
      <x:c r="B232" s="42" t="str">
        <x:v>Part Name</x:v>
      </x:c>
      <x:c r="C232" s="42" t="str">
        <x:v>Data Status</x:v>
      </x:c>
      <x:c r="D232" s="42" t="str">
        <x:v>Internal Label</x:v>
      </x:c>
      <x:c r="E232" s="42" t="str">
        <x:v>AP</x:v>
      </x:c>
      <x:c r="F232" s="42" t="str">
        <x:v>Weight</x:v>
      </x:c>
      <x:c r="G232" s="42" t="str">
        <x:v>EN Load</x:v>
      </x:c>
      <x:c r="H232" s="42" t="str">
        <x:v>Kinetic Defense</x:v>
      </x:c>
      <x:c r="I232" s="42" t="str">
        <x:v>Energy Defense</x:v>
      </x:c>
      <x:c r="J232" s="42" t="str">
        <x:v>Explosive Defense</x:v>
      </x:c>
      <x:c r="K232" s="42" t="str">
        <x:v>Attitude Stability</x:v>
      </x:c>
      <x:c r="L232" s="42" t="str">
        <x:v>Generator Output Adj.</x:v>
      </x:c>
      <x:c r="M232" s="42" t="str">
        <x:v>Generator Supply Adj.</x:v>
      </x:c>
      <x:c r="N232" s="42" t="str">
        <x:v>Booster Efficiency Adj.</x:v>
      </x:c>
      <x:c r="O232" s="42" t="str">
        <x:v>Model ID</x:v>
      </x:c>
      <x:c r="P232" s="25"/>
      <x:c r="Q232" s="25"/>
      <x:c r="R232" s="25"/>
      <x:c r="S232" s="25"/>
      <x:c r="T232" s="25"/>
      <x:c r="U232" s="25"/>
      <x:c r="V232" s="25"/>
    </x:row>
    <x:row r="233">
      <x:c r="A233" s="27" t="str">
        <x:v>51000800</x:v>
      </x:c>
      <x:c r="B233" s="28" t="str">
        <x:v>ACB-G4/P03SAR</x:v>
      </x:c>
      <x:c r="C233" s="28" t="str">
        <x:v>Available</x:v>
      </x:c>
      <x:c r="D233" s="28" t="str">
        <x:v>CORE - Sarah's Frame!!</x:v>
      </x:c>
      <x:c r="E233" s="28" t="n">
        <x:v>3650</x:v>
      </x:c>
      <x:c r="F233" s="28" t="n">
        <x:v>15550</x:v>
      </x:c>
      <x:c r="G233" s="28" t="n">
        <x:v>220</x:v>
      </x:c>
      <x:c r="H233" s="28" t="n">
        <x:v>1850</x:v>
      </x:c>
      <x:c r="I233" s="28" t="n">
        <x:v>1600</x:v>
      </x:c>
      <x:c r="J233" s="28" t="n">
        <x:v>9.1</x:v>
      </x:c>
      <x:c r="K233" s="28" t="n">
        <x:v>530</x:v>
      </x:c>
      <x:c r="L233" s="28" t="n">
        <x:v>103</x:v>
      </x:c>
      <x:c r="M233" s="28" t="n">
        <x:v>88</x:v>
      </x:c>
      <x:c r="N233" s="28" t="n">
        <x:v>125</x:v>
      </x:c>
      <x:c r="O233" s="28" t="str">
        <x:v>6448</x:v>
      </x:c>
      <x:c r="P233" s="25"/>
      <x:c r="Q233" s="25"/>
      <x:c r="R233" s="25"/>
      <x:c r="S233" s="25"/>
      <x:c r="T233" s="25"/>
      <x:c r="U233" s="25"/>
      <x:c r="V233" s="25"/>
    </x:row>
    <x:row r="234">
      <x:c r="A234" s="29" t="str">
        <x:v>51002500</x:v>
      </x:c>
      <x:c r="B234" s="30" t="str">
        <x:v>AAP21/B: WARDEN</x:v>
      </x:c>
      <x:c r="C234" s="30" t="str">
        <x:v>Available</x:v>
      </x:c>
      <x:c r="D234" s="30" t="str">
        <x:v>CORE - PCA Frame</x:v>
      </x:c>
      <x:c r="E234" s="30" t="n">
        <x:v>3240</x:v>
      </x:c>
      <x:c r="F234" s="30" t="n">
        <x:v>15940</x:v>
      </x:c>
      <x:c r="G234" s="30" t="n">
        <x:v>322</x:v>
      </x:c>
      <x:c r="H234" s="30" t="n">
        <x:v>1850</x:v>
      </x:c>
      <x:c r="I234" s="30" t="n">
        <x:v>1600</x:v>
      </x:c>
      <x:c r="J234" s="30" t="n">
        <x:v>6.8</x:v>
      </x:c>
      <x:c r="K234" s="30" t="n">
        <x:v>480</x:v>
      </x:c>
      <x:c r="L234" s="30" t="n">
        <x:v>113</x:v>
      </x:c>
      <x:c r="M234" s="30" t="n">
        <x:v>106</x:v>
      </x:c>
      <x:c r="N234" s="30" t="n">
        <x:v>93</x:v>
      </x:c>
      <x:c r="O234" s="30" t="str">
        <x:v>699</x:v>
      </x:c>
      <x:c r="P234" s="25"/>
      <x:c r="Q234" s="25"/>
      <x:c r="R234" s="25"/>
      <x:c r="S234" s="25"/>
      <x:c r="T234" s="25"/>
      <x:c r="U234" s="25"/>
      <x:c r="V234" s="25"/>
    </x:row>
    <x:row r="235">
      <x:c r="A235" s="29" t="str">
        <x:v>51020100</x:v>
      </x:c>
      <x:c r="B235" s="30" t="str">
        <x:v>EISVOGEL/40K</x:v>
      </x:c>
      <x:c r="C235" s="30" t="str">
        <x:v>Available</x:v>
      </x:c>
      <x:c r="D235" s="30" t="str">
        <x:v>CORE - EISVOGEL</x:v>
      </x:c>
      <x:c r="E235" s="30" t="n">
        <x:v>2880</x:v>
      </x:c>
      <x:c r="F235" s="30" t="n">
        <x:v>12900</x:v>
      </x:c>
      <x:c r="G235" s="30" t="n">
        <x:v>350</x:v>
      </x:c>
      <x:c r="H235" s="30" t="n">
        <x:v>1850</x:v>
      </x:c>
      <x:c r="I235" s="30" t="n">
        <x:v>1600</x:v>
      </x:c>
      <x:c r="J235" s="30" t="n">
        <x:v>-1</x:v>
      </x:c>
      <x:c r="K235" s="30" t="n">
        <x:v>499</x:v>
      </x:c>
      <x:c r="L235" s="30" t="n">
        <x:v>94</x:v>
      </x:c>
      <x:c r="M235" s="30" t="n">
        <x:v>119</x:v>
      </x:c>
      <x:c r="N235" s="30" t="n">
        <x:v>118</x:v>
      </x:c>
      <x:c r="O235" s="30" t="str">
        <x:v>1999</x:v>
      </x:c>
      <x:c r="P235" s="25"/>
      <x:c r="Q235" s="25"/>
      <x:c r="R235" s="25"/>
      <x:c r="S235" s="25"/>
      <x:c r="T235" s="25"/>
      <x:c r="U235" s="25"/>
      <x:c r="V235" s="25"/>
    </x:row>
    <x:row r="236">
      <x:c r="A236" s="29" t="str">
        <x:v>51020300</x:v>
      </x:c>
      <x:c r="B236" s="30" t="str">
        <x:v>CRAZ-OUT-11 SERENITY</x:v>
      </x:c>
      <x:c r="C236" s="30" t="str">
        <x:v>Available</x:v>
      </x:c>
      <x:c r="D236" s="30" t="str">
        <x:v>CORE - SERENITY</x:v>
      </x:c>
      <x:c r="E236" s="30" t="n">
        <x:v>3980</x:v>
      </x:c>
      <x:c r="F236" s="30" t="n">
        <x:v>18340</x:v>
      </x:c>
      <x:c r="G236" s="30" t="n">
        <x:v>297</x:v>
      </x:c>
      <x:c r="H236" s="30" t="n">
        <x:v>1850</x:v>
      </x:c>
      <x:c r="I236" s="30" t="n">
        <x:v>1600</x:v>
      </x:c>
      <x:c r="J236" s="30" t="n">
        <x:v>10.7</x:v>
      </x:c>
      <x:c r="K236" s="30" t="n">
        <x:v>600</x:v>
      </x:c>
      <x:c r="L236" s="30" t="n">
        <x:v>111</x:v>
      </x:c>
      <x:c r="M236" s="30" t="n">
        <x:v>88</x:v>
      </x:c>
      <x:c r="N236" s="30" t="n">
        <x:v>111</x:v>
      </x:c>
      <x:c r="O236" s="30" t="str">
        <x:v>8069</x:v>
      </x:c>
      <x:c r="P236" s="25"/>
      <x:c r="Q236" s="25"/>
      <x:c r="R236" s="25"/>
      <x:c r="S236" s="25"/>
      <x:c r="T236" s="25"/>
      <x:c r="U236" s="25"/>
      <x:c r="V236" s="25"/>
    </x:row>
    <x:row r="237">
      <x:c r="A237" s="29" t="str">
        <x:v>51030200</x:v>
      </x:c>
      <x:c r="B237" s="30" t="str">
        <x:v>AAP07/B: BALTEUS</x:v>
      </x:c>
      <x:c r="C237" s="30" t="str">
        <x:v>Available</x:v>
      </x:c>
      <x:c r="D237" s="30" t="str">
        <x:v>CORE - AAP07 BALTEUS</x:v>
      </x:c>
      <x:c r="E237" s="30" t="n">
        <x:v>2870</x:v>
      </x:c>
      <x:c r="F237" s="30" t="n">
        <x:v>15000</x:v>
      </x:c>
      <x:c r="G237" s="30" t="n">
        <x:v>500</x:v>
      </x:c>
      <x:c r="H237" s="30" t="n">
        <x:v>1850</x:v>
      </x:c>
      <x:c r="I237" s="30" t="n">
        <x:v>1600</x:v>
      </x:c>
      <x:c r="J237" s="30" t="n">
        <x:v>8</x:v>
      </x:c>
      <x:c r="K237" s="30" t="n">
        <x:v>431</x:v>
      </x:c>
      <x:c r="L237" s="30" t="n">
        <x:v>120</x:v>
      </x:c>
      <x:c r="M237" s="30" t="n">
        <x:v>83</x:v>
      </x:c>
      <x:c r="N237" s="30" t="n">
        <x:v>78</x:v>
      </x:c>
      <x:c r="O237" s="30" t="str">
        <x:v>4020</x:v>
      </x:c>
      <x:c r="P237" s="25"/>
      <x:c r="Q237" s="25"/>
      <x:c r="R237" s="25"/>
      <x:c r="S237" s="25"/>
      <x:c r="T237" s="25"/>
      <x:c r="U237" s="25"/>
      <x:c r="V237" s="25"/>
    </x:row>
    <x:row r="238">
      <x:c r="A238" s="29" t="str">
        <x:v>51050200</x:v>
      </x:c>
      <x:c r="B238" s="30" t="str">
        <x:v>CC-7000 BIG BITE</x:v>
      </x:c>
      <x:c r="C238" s="30" t="str">
        <x:v>Available</x:v>
      </x:c>
      <x:c r="D238" s="30" t="str">
        <x:v>CORE - Crazy Core</x:v>
      </x:c>
      <x:c r="E238" s="30" t="n">
        <x:v>3795</x:v>
      </x:c>
      <x:c r="F238" s="30" t="n">
        <x:v>17900</x:v>
      </x:c>
      <x:c r="G238" s="30" t="n">
        <x:v>298</x:v>
      </x:c>
      <x:c r="H238" s="30" t="n">
        <x:v>1850</x:v>
      </x:c>
      <x:c r="I238" s="30" t="n">
        <x:v>1600</x:v>
      </x:c>
      <x:c r="J238" s="30" t="n">
        <x:v>11</x:v>
      </x:c>
      <x:c r="K238" s="30" t="n">
        <x:v>433</x:v>
      </x:c>
      <x:c r="L238" s="30" t="n">
        <x:v>101</x:v>
      </x:c>
      <x:c r="M238" s="30" t="n">
        <x:v>106</x:v>
      </x:c>
      <x:c r="N238" s="30" t="n">
        <x:v>73</x:v>
      </x:c>
      <x:c r="O238" s="30" t="str">
        <x:v>1490</x:v>
      </x:c>
      <x:c r="P238" s="25"/>
      <x:c r="Q238" s="25"/>
      <x:c r="R238" s="25"/>
      <x:c r="S238" s="25"/>
      <x:c r="T238" s="25"/>
      <x:c r="U238" s="25"/>
      <x:c r="V238" s="25"/>
    </x:row>
    <x:row r="239">
      <x:c r="A239" s="29" t="str">
        <x:v>51050300</x:v>
      </x:c>
      <x:c r="B239" s="30" t="str">
        <x:v>07-061-C 300</x:v>
      </x:c>
      <x:c r="C239" s="30" t="str">
        <x:v>Available</x:v>
      </x:c>
      <x:c r="D239" s="30" t="str">
        <x:v>CORE - Boosters</x:v>
      </x:c>
      <x:c r="E239" s="30" t="n">
        <x:v>3210</x:v>
      </x:c>
      <x:c r="F239" s="30" t="n">
        <x:v>17880</x:v>
      </x:c>
      <x:c r="G239" s="30" t="n">
        <x:v>388</x:v>
      </x:c>
      <x:c r="H239" s="30" t="n">
        <x:v>1850</x:v>
      </x:c>
      <x:c r="I239" s="30" t="n">
        <x:v>1600</x:v>
      </x:c>
      <x:c r="J239" s="30" t="n">
        <x:v>5</x:v>
      </x:c>
      <x:c r="K239" s="30" t="n">
        <x:v>360</x:v>
      </x:c>
      <x:c r="L239" s="30" t="n">
        <x:v>104</x:v>
      </x:c>
      <x:c r="M239" s="30" t="n">
        <x:v>108</x:v>
      </x:c>
      <x:c r="N239" s="30" t="n">
        <x:v>130</x:v>
      </x:c>
      <x:c r="O239" s="30" t="str">
        <x:v>6910</x:v>
      </x:c>
      <x:c r="P239" s="25"/>
      <x:c r="Q239" s="25"/>
      <x:c r="R239" s="25"/>
      <x:c r="S239" s="25"/>
      <x:c r="T239" s="25"/>
      <x:c r="U239" s="25"/>
      <x:c r="V239" s="25"/>
    </x:row>
    <x:row r="240">
      <x:c r="A240" s="29" t="str">
        <x:v>51050400</x:v>
      </x:c>
      <x:c r="B240" s="30" t="str">
        <x:v>MAD-FL-34-G-BD NIGHTMARISH</x:v>
      </x:c>
      <x:c r="C240" s="30" t="str">
        <x:v>Available</x:v>
      </x:c>
      <x:c r="D240" s="30" t="str">
        <x:v>CORE - Nightmare</x:v>
      </x:c>
      <x:c r="E240" s="30" t="n">
        <x:v>4000</x:v>
      </x:c>
      <x:c r="F240" s="30" t="n">
        <x:v>18220</x:v>
      </x:c>
      <x:c r="G240" s="30" t="n">
        <x:v>410</x:v>
      </x:c>
      <x:c r="H240" s="30" t="n">
        <x:v>1850</x:v>
      </x:c>
      <x:c r="I240" s="30" t="n">
        <x:v>1600</x:v>
      </x:c>
      <x:c r="J240" s="30" t="n">
        <x:v>5.1</x:v>
      </x:c>
      <x:c r="K240" s="30" t="n">
        <x:v>411</x:v>
      </x:c>
      <x:c r="L240" s="30" t="n">
        <x:v>86</x:v>
      </x:c>
      <x:c r="M240" s="30" t="n">
        <x:v>127</x:v>
      </x:c>
      <x:c r="N240" s="30" t="n">
        <x:v>93</x:v>
      </x:c>
      <x:c r="O240" s="30" t="str">
        <x:v>1034</x:v>
      </x:c>
      <x:c r="P240" s="25"/>
      <x:c r="Q240" s="25"/>
      <x:c r="R240" s="25"/>
      <x:c r="S240" s="25"/>
      <x:c r="T240" s="25"/>
      <x:c r="U240" s="25"/>
      <x:c r="V240" s="25"/>
    </x:row>
    <x:row r="241">
      <x:c r="A241" s="29" t="str">
        <x:v>51050800</x:v>
      </x:c>
      <x:c r="B241" s="30" t="str">
        <x:v>MAD-FL-34-G-BD DREAMER</x:v>
      </x:c>
      <x:c r="C241" s="30" t="str">
        <x:v>Available</x:v>
      </x:c>
      <x:c r="D241" s="30" t="str">
        <x:v>CORE - NIGHTMARE FIXED</x:v>
      </x:c>
      <x:c r="E241" s="30" t="n">
        <x:v>3830</x:v>
      </x:c>
      <x:c r="F241" s="30" t="n">
        <x:v>17520</x:v>
      </x:c>
      <x:c r="G241" s="30" t="n">
        <x:v>340</x:v>
      </x:c>
      <x:c r="H241" s="30" t="n">
        <x:v>1850</x:v>
      </x:c>
      <x:c r="I241" s="30" t="n">
        <x:v>1600</x:v>
      </x:c>
      <x:c r="J241" s="30" t="n">
        <x:v>6</x:v>
      </x:c>
      <x:c r="K241" s="30" t="n">
        <x:v>428</x:v>
      </x:c>
      <x:c r="L241" s="30" t="n">
        <x:v>90</x:v>
      </x:c>
      <x:c r="M241" s="30" t="n">
        <x:v>115</x:v>
      </x:c>
      <x:c r="N241" s="30" t="n">
        <x:v>99</x:v>
      </x:c>
      <x:c r="O241" s="30" t="str">
        <x:v>1035</x:v>
      </x:c>
      <x:c r="P241" s="25"/>
      <x:c r="Q241" s="25"/>
      <x:c r="R241" s="25"/>
      <x:c r="S241" s="25"/>
      <x:c r="T241" s="25"/>
      <x:c r="U241" s="25"/>
      <x:c r="V241" s="25"/>
    </x:row>
    <x:row r="242">
      <x:c r="A242" s="29" t="str">
        <x:v>51050900</x:v>
      </x:c>
      <x:c r="B242" s="30" t="str">
        <x:v>CRAZ-OUT-08 HOMESTEAD</x:v>
      </x:c>
      <x:c r="C242" s="30" t="str">
        <x:v>Available</x:v>
      </x:c>
      <x:c r="D242" s="30" t="str">
        <x:v>CORE - HOMESTEAD</x:v>
      </x:c>
      <x:c r="E242" s="30" t="n">
        <x:v>4250</x:v>
      </x:c>
      <x:c r="F242" s="30" t="n">
        <x:v>21510</x:v>
      </x:c>
      <x:c r="G242" s="30" t="n">
        <x:v>340</x:v>
      </x:c>
      <x:c r="H242" s="30" t="n">
        <x:v>1850</x:v>
      </x:c>
      <x:c r="I242" s="30" t="n">
        <x:v>1600</x:v>
      </x:c>
      <x:c r="J242" s="30" t="n">
        <x:v>7.1</x:v>
      </x:c>
      <x:c r="K242" s="30" t="n">
        <x:v>504</x:v>
      </x:c>
      <x:c r="L242" s="30" t="n">
        <x:v>121</x:v>
      </x:c>
      <x:c r="M242" s="30" t="n">
        <x:v>110</x:v>
      </x:c>
      <x:c r="N242" s="30" t="n">
        <x:v>77</x:v>
      </x:c>
      <x:c r="O242" s="30" t="str">
        <x:v>5709</x:v>
      </x:c>
      <x:c r="P242" s="25"/>
      <x:c r="Q242" s="25"/>
      <x:c r="R242" s="25"/>
      <x:c r="S242" s="25"/>
      <x:c r="T242" s="25"/>
      <x:c r="U242" s="25"/>
      <x:c r="V242" s="25"/>
    </x:row>
    <x:row r="243">
      <x:c r="A243" s="29" t="str">
        <x:v>51051400</x:v>
      </x:c>
      <x:c r="B243" s="30" t="str">
        <x:v>FV2M01 BASILISK</x:v>
      </x:c>
      <x:c r="C243" s="30" t="str">
        <x:v>Available</x:v>
      </x:c>
      <x:c r="D243" s="30" t="str">
        <x:v>CORE - DRAGON</x:v>
      </x:c>
      <x:c r="E243" s="30" t="n">
        <x:v>2690</x:v>
      </x:c>
      <x:c r="F243" s="30" t="n">
        <x:v>9920</x:v>
      </x:c>
      <x:c r="G243" s="30" t="n">
        <x:v>298</x:v>
      </x:c>
      <x:c r="H243" s="30" t="n">
        <x:v>1850</x:v>
      </x:c>
      <x:c r="I243" s="30" t="n">
        <x:v>1600</x:v>
      </x:c>
      <x:c r="J243" s="30" t="n">
        <x:v>6.5</x:v>
      </x:c>
      <x:c r="K243" s="30" t="n">
        <x:v>420</x:v>
      </x:c>
      <x:c r="L243" s="30" t="n">
        <x:v>106</x:v>
      </x:c>
      <x:c r="M243" s="30" t="n">
        <x:v>79</x:v>
      </x:c>
      <x:c r="N243" s="30" t="n">
        <x:v>113</x:v>
      </x:c>
      <x:c r="O243" s="30" t="str">
        <x:v>8152</x:v>
      </x:c>
      <x:c r="P243" s="25"/>
      <x:c r="Q243" s="25"/>
      <x:c r="R243" s="25"/>
      <x:c r="S243" s="25"/>
      <x:c r="T243" s="25"/>
      <x:c r="U243" s="25"/>
      <x:c r="V243" s="25"/>
    </x:row>
    <x:row r="244">
      <x:c r="A244" s="29" t="str">
        <x:v>51052400</x:v>
      </x:c>
      <x:c r="B244" s="30" t="str">
        <x:v>MAD-P-I-11-GY DUMB</x:v>
      </x:c>
      <x:c r="C244" s="30" t="str">
        <x:v>Available</x:v>
      </x:c>
      <x:c r="D244" s="30" t="str">
        <x:v>CORE - BACKPACK</x:v>
      </x:c>
      <x:c r="E244" s="30" t="n">
        <x:v>3550</x:v>
      </x:c>
      <x:c r="F244" s="30" t="n">
        <x:v>15960</x:v>
      </x:c>
      <x:c r="G244" s="30" t="n">
        <x:v>385</x:v>
      </x:c>
      <x:c r="H244" s="30" t="n">
        <x:v>1850</x:v>
      </x:c>
      <x:c r="I244" s="30" t="n">
        <x:v>1600</x:v>
      </x:c>
      <x:c r="J244" s="30" t="n">
        <x:v>7.6</x:v>
      </x:c>
      <x:c r="K244" s="30" t="n">
        <x:v>521</x:v>
      </x:c>
      <x:c r="L244" s="30" t="n">
        <x:v>118</x:v>
      </x:c>
      <x:c r="M244" s="30" t="n">
        <x:v>104</x:v>
      </x:c>
      <x:c r="N244" s="30" t="n">
        <x:v>68</x:v>
      </x:c>
      <x:c r="O244" s="30" t="str">
        <x:v>4444</x:v>
      </x:c>
      <x:c r="P244" s="25"/>
      <x:c r="Q244" s="25"/>
      <x:c r="R244" s="25"/>
      <x:c r="S244" s="25"/>
      <x:c r="T244" s="25"/>
      <x:c r="U244" s="25"/>
      <x:c r="V244" s="25"/>
    </x:row>
    <x:row r="245">
      <x:c r="A245" s="29" t="str">
        <x:v>51052500</x:v>
      </x:c>
      <x:c r="B245" s="30" t="str">
        <x:v>B-MOD_14 LANISTA</x:v>
      </x:c>
      <x:c r="C245" s="30" t="str">
        <x:v>Available</x:v>
      </x:c>
      <x:c r="D245" s="30" t="str">
        <x:v>CORE - LANISTA</x:v>
      </x:c>
      <x:c r="E245" s="30" t="n">
        <x:v>3900</x:v>
      </x:c>
      <x:c r="F245" s="30" t="n">
        <x:v>19550</x:v>
      </x:c>
      <x:c r="G245" s="30" t="n">
        <x:v>400</x:v>
      </x:c>
      <x:c r="H245" s="30" t="n">
        <x:v>1850</x:v>
      </x:c>
      <x:c r="I245" s="30" t="n">
        <x:v>1600</x:v>
      </x:c>
      <x:c r="J245" s="30" t="n">
        <x:v>9.9</x:v>
      </x:c>
      <x:c r="K245" s="30" t="n">
        <x:v>603</x:v>
      </x:c>
      <x:c r="L245" s="30" t="n">
        <x:v>90</x:v>
      </x:c>
      <x:c r="M245" s="30" t="n">
        <x:v>111</x:v>
      </x:c>
      <x:c r="N245" s="30" t="n">
        <x:v>115</x:v>
      </x:c>
      <x:c r="O245" s="30" t="str">
        <x:v>4848</x:v>
      </x:c>
      <x:c r="P245" s="25"/>
      <x:c r="Q245" s="25"/>
      <x:c r="R245" s="25"/>
      <x:c r="S245" s="25"/>
      <x:c r="T245" s="25"/>
      <x:c r="U245" s="25"/>
      <x:c r="V245" s="25"/>
    </x:row>
    <x:row r="246">
      <x:c r="A246" s="29" t="str">
        <x:v>51052600</x:v>
      </x:c>
      <x:c r="B246" s="30" t="str">
        <x:v>B-MOD_2 [0] IANITOR</x:v>
      </x:c>
      <x:c r="C246" s="30" t="str">
        <x:v>Available</x:v>
      </x:c>
      <x:c r="D246" s="30" t="str">
        <x:v>CORE - IANITOR</x:v>
      </x:c>
      <x:c r="E246" s="30" t="n">
        <x:v>2910</x:v>
      </x:c>
      <x:c r="F246" s="30" t="n">
        <x:v>13100</x:v>
      </x:c>
      <x:c r="G246" s="30" t="n">
        <x:v>320</x:v>
      </x:c>
      <x:c r="H246" s="30" t="n">
        <x:v>1850</x:v>
      </x:c>
      <x:c r="I246" s="30" t="n">
        <x:v>1600</x:v>
      </x:c>
      <x:c r="J246" s="30" t="n">
        <x:v>4</x:v>
      </x:c>
      <x:c r="K246" s="30" t="n">
        <x:v>392</x:v>
      </x:c>
      <x:c r="L246" s="30" t="n">
        <x:v>105</x:v>
      </x:c>
      <x:c r="M246" s="30" t="n">
        <x:v>95</x:v>
      </x:c>
      <x:c r="N246" s="30" t="n">
        <x:v>117</x:v>
      </x:c>
      <x:c r="O246" s="30" t="str">
        <x:v>5005</x:v>
      </x:c>
      <x:c r="P246" s="25"/>
      <x:c r="Q246" s="25"/>
      <x:c r="R246" s="25"/>
      <x:c r="S246" s="25"/>
      <x:c r="T246" s="25"/>
      <x:c r="U246" s="25"/>
      <x:c r="V246" s="25"/>
    </x:row>
    <x:row r="247">
      <x:c r="A247" s="29" t="str">
        <x:v>51052700</x:v>
      </x:c>
      <x:c r="B247" s="30" t="str">
        <x:v>BI-22: CU-A1</x:v>
      </x:c>
      <x:c r="C247" s="30" t="str">
        <x:v>Available</x:v>
      </x:c>
      <x:c r="D247" s="30" t="str">
        <x:v>CORE - Takigawa</x:v>
      </x:c>
      <x:c r="E247" s="30" t="n">
        <x:v>2680</x:v>
      </x:c>
      <x:c r="F247" s="30" t="n">
        <x:v>14600</x:v>
      </x:c>
      <x:c r="G247" s="30" t="n">
        <x:v>377</x:v>
      </x:c>
      <x:c r="H247" s="30" t="n">
        <x:v>1850</x:v>
      </x:c>
      <x:c r="I247" s="30" t="n">
        <x:v>1600</x:v>
      </x:c>
      <x:c r="J247" s="30" t="n">
        <x:v>1.7</x:v>
      </x:c>
      <x:c r="K247" s="30" t="n">
        <x:v>398</x:v>
      </x:c>
      <x:c r="L247" s="30" t="n">
        <x:v>101</x:v>
      </x:c>
      <x:c r="M247" s="30" t="n">
        <x:v>104</x:v>
      </x:c>
      <x:c r="N247" s="30" t="n">
        <x:v>99</x:v>
      </x:c>
      <x:c r="O247" s="30" t="str">
        <x:v>4041</x:v>
      </x:c>
      <x:c r="P247" s="25"/>
      <x:c r="Q247" s="25"/>
      <x:c r="R247" s="25"/>
      <x:c r="S247" s="25"/>
      <x:c r="T247" s="25"/>
      <x:c r="U247" s="25"/>
      <x:c r="V247" s="25"/>
    </x:row>
    <x:row r="248">
      <x:c r="A248" s="29" t="str">
        <x:v>51052800</x:v>
      </x:c>
      <x:c r="B248" s="30" t="str">
        <x:v>EL-DB-04 AVISPA</x:v>
      </x:c>
      <x:c r="C248" s="30" t="str">
        <x:v>Available</x:v>
      </x:c>
      <x:c r="D248" s="30" t="str">
        <x:v>CORE - Avispa</x:v>
      </x:c>
      <x:c r="E248" s="30" t="n">
        <x:v>2480</x:v>
      </x:c>
      <x:c r="F248" s="30" t="n">
        <x:v>9980</x:v>
      </x:c>
      <x:c r="G248" s="30" t="n">
        <x:v>327</x:v>
      </x:c>
      <x:c r="H248" s="30" t="n">
        <x:v>1850</x:v>
      </x:c>
      <x:c r="I248" s="30" t="n">
        <x:v>1600</x:v>
      </x:c>
      <x:c r="J248" s="30" t="n">
        <x:v>-1.7</x:v>
      </x:c>
      <x:c r="K248" s="30" t="n">
        <x:v>478</x:v>
      </x:c>
      <x:c r="L248" s="30" t="n">
        <x:v>105</x:v>
      </x:c>
      <x:c r="M248" s="30" t="n">
        <x:v>98</x:v>
      </x:c>
      <x:c r="N248" s="30" t="n">
        <x:v>120</x:v>
      </x:c>
      <x:c r="O248" s="30" t="str">
        <x:v>7130</x:v>
      </x:c>
      <x:c r="P248" s="25"/>
      <x:c r="Q248" s="25"/>
      <x:c r="R248" s="25"/>
      <x:c r="S248" s="25"/>
      <x:c r="T248" s="25"/>
      <x:c r="U248" s="25"/>
      <x:c r="V248" s="25"/>
    </x:row>
    <x:row r="249">
      <x:c r="A249" s="29" t="str">
        <x:v>51052900</x:v>
      </x:c>
      <x:c r="B249" s="30" t="str">
        <x:v>B-MOD_5-8 DOMINUS</x:v>
      </x:c>
      <x:c r="C249" s="30" t="str">
        <x:v>Available</x:v>
      </x:c>
      <x:c r="D249" s="30" t="str">
        <x:v>CORE - DOMINUS</x:v>
      </x:c>
      <x:c r="E249" s="30" t="n">
        <x:v>4130</x:v>
      </x:c>
      <x:c r="F249" s="30" t="n">
        <x:v>16080</x:v>
      </x:c>
      <x:c r="G249" s="30" t="n">
        <x:v>333</x:v>
      </x:c>
      <x:c r="H249" s="30" t="n">
        <x:v>1850</x:v>
      </x:c>
      <x:c r="I249" s="30" t="n">
        <x:v>1600</x:v>
      </x:c>
      <x:c r="J249" s="30" t="n">
        <x:v>6.9</x:v>
      </x:c>
      <x:c r="K249" s="30" t="n">
        <x:v>356</x:v>
      </x:c>
      <x:c r="L249" s="30" t="n">
        <x:v>119</x:v>
      </x:c>
      <x:c r="M249" s="30" t="n">
        <x:v>92</x:v>
      </x:c>
      <x:c r="N249" s="30" t="n">
        <x:v>114</x:v>
      </x:c>
      <x:c r="O249" s="30" t="str">
        <x:v>2244</x:v>
      </x:c>
      <x:c r="P249" s="25"/>
      <x:c r="Q249" s="25"/>
      <x:c r="R249" s="25"/>
      <x:c r="S249" s="25"/>
      <x:c r="T249" s="25"/>
      <x:c r="U249" s="25"/>
      <x:c r="V249" s="25"/>
    </x:row>
    <x:row r="250">
      <x:c r="A250" s="29" t="str">
        <x:v>51053300</x:v>
      </x:c>
      <x:c r="B250" s="30" t="str">
        <x:v>BX-24 ISAIAH</x:v>
      </x:c>
      <x:c r="C250" s="30" t="str">
        <x:v>Available</x:v>
      </x:c>
      <x:c r="D250" s="30" t="str">
        <x:v>CORE - ISAIAH</x:v>
      </x:c>
      <x:c r="E250" s="30" t="n">
        <x:v>3580</x:v>
      </x:c>
      <x:c r="F250" s="30" t="n">
        <x:v>16280</x:v>
      </x:c>
      <x:c r="G250" s="30" t="n">
        <x:v>211</x:v>
      </x:c>
      <x:c r="H250" s="30" t="n">
        <x:v>1850</x:v>
      </x:c>
      <x:c r="I250" s="30" t="n">
        <x:v>1600</x:v>
      </x:c>
      <x:c r="J250" s="30" t="n">
        <x:v>4</x:v>
      </x:c>
      <x:c r="K250" s="30" t="n">
        <x:v>480</x:v>
      </x:c>
      <x:c r="L250" s="30" t="n">
        <x:v>100</x:v>
      </x:c>
      <x:c r="M250" s="30" t="n">
        <x:v>106</x:v>
      </x:c>
      <x:c r="N250" s="30" t="n">
        <x:v>84</x:v>
      </x:c>
      <x:c r="O250" s="30" t="str">
        <x:v>4737</x:v>
      </x:c>
      <x:c r="P250" s="25"/>
      <x:c r="Q250" s="25"/>
      <x:c r="R250" s="25"/>
      <x:c r="S250" s="25"/>
      <x:c r="T250" s="25"/>
      <x:c r="U250" s="25"/>
      <x:c r="V250" s="25"/>
    </x:row>
    <x:row r="251">
      <x:c r="A251" s="29" t="str">
        <x:v>51053400</x:v>
      </x:c>
      <x:c r="B251" s="30" t="str">
        <x:v>BX-26 BARNABAS</x:v>
      </x:c>
      <x:c r="C251" s="30" t="str">
        <x:v>Available</x:v>
      </x:c>
      <x:c r="D251" s="30" t="str">
        <x:v>CORE - BARNABAS</x:v>
      </x:c>
      <x:c r="E251" s="30" t="n">
        <x:v>2800</x:v>
      </x:c>
      <x:c r="F251" s="30" t="n">
        <x:v>10620</x:v>
      </x:c>
      <x:c r="G251" s="30" t="n">
        <x:v>277</x:v>
      </x:c>
      <x:c r="H251" s="30" t="n">
        <x:v>1850</x:v>
      </x:c>
      <x:c r="I251" s="30" t="n">
        <x:v>1600</x:v>
      </x:c>
      <x:c r="J251" s="30" t="n">
        <x:v>-1</x:v>
      </x:c>
      <x:c r="K251" s="30" t="n">
        <x:v>365</x:v>
      </x:c>
      <x:c r="L251" s="30" t="n">
        <x:v>112</x:v>
      </x:c>
      <x:c r="M251" s="30" t="n">
        <x:v>105</x:v>
      </x:c>
      <x:c r="N251" s="30" t="n">
        <x:v>91</x:v>
      </x:c>
      <x:c r="O251" s="30" t="str">
        <x:v>7770</x:v>
      </x:c>
      <x:c r="P251" s="25"/>
      <x:c r="Q251" s="25"/>
      <x:c r="R251" s="25"/>
      <x:c r="S251" s="25"/>
      <x:c r="T251" s="25"/>
      <x:c r="U251" s="25"/>
      <x:c r="V251" s="25"/>
    </x:row>
    <x:row r="252">
      <x:c r="A252" s="29" t="str">
        <x:v>51053500</x:v>
      </x:c>
      <x:c r="B252" s="30" t="str">
        <x:v>B-MOD_11 IMPERATOR</x:v>
      </x:c>
      <x:c r="C252" s="30" t="str">
        <x:v>Available</x:v>
      </x:c>
      <x:c r="D252" s="30" t="str">
        <x:v>CORE - Imperator</x:v>
      </x:c>
      <x:c r="E252" s="30" t="n">
        <x:v>4050</x:v>
      </x:c>
      <x:c r="F252" s="30" t="n">
        <x:v>20100</x:v>
      </x:c>
      <x:c r="G252" s="30" t="n">
        <x:v>354</x:v>
      </x:c>
      <x:c r="H252" s="30" t="n">
        <x:v>1850</x:v>
      </x:c>
      <x:c r="I252" s="30" t="n">
        <x:v>1600</x:v>
      </x:c>
      <x:c r="J252" s="30" t="n">
        <x:v>11</x:v>
      </x:c>
      <x:c r="K252" s="30" t="n">
        <x:v>615</x:v>
      </x:c>
      <x:c r="L252" s="30" t="n">
        <x:v>118</x:v>
      </x:c>
      <x:c r="M252" s="30" t="n">
        <x:v>115</x:v>
      </x:c>
      <x:c r="N252" s="30" t="n">
        <x:v>69</x:v>
      </x:c>
      <x:c r="O252" s="30" t="str">
        <x:v>4477</x:v>
      </x:c>
      <x:c r="P252" s="25"/>
      <x:c r="Q252" s="25"/>
      <x:c r="R252" s="25"/>
      <x:c r="S252" s="25"/>
      <x:c r="T252" s="25"/>
      <x:c r="U252" s="25"/>
      <x:c r="V252" s="25"/>
    </x:row>
    <x:row r="253">
      <x:c r="A253" s="29" t="str">
        <x:v>51053600</x:v>
      </x:c>
      <x:c r="B253" s="30" t="str">
        <x:v>AAP03/B: ENFORCER</x:v>
      </x:c>
      <x:c r="C253" s="30" t="str">
        <x:v>Available</x:v>
      </x:c>
      <x:c r="D253" s="30" t="str">
        <x:v>CORE - ENFORCER</x:v>
      </x:c>
      <x:c r="E253" s="30" t="n">
        <x:v>3590</x:v>
      </x:c>
      <x:c r="F253" s="30" t="n">
        <x:v>17270</x:v>
      </x:c>
      <x:c r="G253" s="30" t="n">
        <x:v>420</x:v>
      </x:c>
      <x:c r="H253" s="30" t="n">
        <x:v>1850</x:v>
      </x:c>
      <x:c r="I253" s="30" t="n">
        <x:v>1600</x:v>
      </x:c>
      <x:c r="J253" s="30" t="n">
        <x:v>1.1</x:v>
      </x:c>
      <x:c r="K253" s="30" t="n">
        <x:v>438</x:v>
      </x:c>
      <x:c r="L253" s="30" t="n">
        <x:v>123</x:v>
      </x:c>
      <x:c r="M253" s="30" t="n">
        <x:v>89</x:v>
      </x:c>
      <x:c r="N253" s="30" t="n">
        <x:v>97</x:v>
      </x:c>
      <x:c r="O253" s="30" t="str">
        <x:v>3311</x:v>
      </x:c>
      <x:c r="P253" s="25"/>
      <x:c r="Q253" s="25"/>
      <x:c r="R253" s="25"/>
      <x:c r="S253" s="25"/>
      <x:c r="T253" s="25"/>
      <x:c r="U253" s="25"/>
      <x:c r="V253" s="25"/>
    </x:row>
    <x:row r="254">
      <x:c r="A254" s="29" t="str">
        <x:v>51053700</x:v>
      </x:c>
      <x:c r="B254" s="30" t="str">
        <x:v>BX-29 NOAH</x:v>
      </x:c>
      <x:c r="C254" s="30" t="str">
        <x:v>Available</x:v>
      </x:c>
      <x:c r="D254" s="30" t="str">
        <x:v>CORE - NOAH</x:v>
      </x:c>
      <x:c r="E254" s="30" t="n">
        <x:v>3810</x:v>
      </x:c>
      <x:c r="F254" s="30" t="n">
        <x:v>22600</x:v>
      </x:c>
      <x:c r="G254" s="30" t="n">
        <x:v>312</x:v>
      </x:c>
      <x:c r="H254" s="30" t="n">
        <x:v>1850</x:v>
      </x:c>
      <x:c r="I254" s="30" t="n">
        <x:v>1600</x:v>
      </x:c>
      <x:c r="J254" s="30" t="n">
        <x:v>11.3</x:v>
      </x:c>
      <x:c r="K254" s="30" t="n">
        <x:v>626</x:v>
      </x:c>
      <x:c r="L254" s="30" t="n">
        <x:v>121</x:v>
      </x:c>
      <x:c r="M254" s="30" t="n">
        <x:v>135</x:v>
      </x:c>
      <x:c r="N254" s="30" t="n">
        <x:v>76</x:v>
      </x:c>
      <x:c r="O254" s="30" t="str">
        <x:v>2005</x:v>
      </x:c>
      <x:c r="P254" s="25"/>
      <x:c r="Q254" s="25"/>
      <x:c r="R254" s="25"/>
      <x:c r="S254" s="25"/>
      <x:c r="T254" s="25"/>
      <x:c r="U254" s="25"/>
      <x:c r="V254" s="25"/>
    </x:row>
    <x:row r="255">
      <x:c r="A255" s="29" t="str">
        <x:v>51053800</x:v>
      </x:c>
      <x:c r="B255" s="30" t="str">
        <x:v>B-MOD_18 PRAETOR</x:v>
      </x:c>
      <x:c r="C255" s="30" t="str">
        <x:v>Available</x:v>
      </x:c>
      <x:c r="D255" s="30" t="str">
        <x:v>CORE - PRAETOR</x:v>
      </x:c>
      <x:c r="E255" s="30" t="n">
        <x:v>3220</x:v>
      </x:c>
      <x:c r="F255" s="30" t="n">
        <x:v>15100</x:v>
      </x:c>
      <x:c r="G255" s="30" t="n">
        <x:v>389</x:v>
      </x:c>
      <x:c r="H255" s="30" t="n">
        <x:v>1850</x:v>
      </x:c>
      <x:c r="I255" s="30" t="n">
        <x:v>1600</x:v>
      </x:c>
      <x:c r="J255" s="30" t="n">
        <x:v>-0.55</x:v>
      </x:c>
      <x:c r="K255" s="30" t="n">
        <x:v>516</x:v>
      </x:c>
      <x:c r="L255" s="30" t="n">
        <x:v>120</x:v>
      </x:c>
      <x:c r="M255" s="30" t="n">
        <x:v>110</x:v>
      </x:c>
      <x:c r="N255" s="30" t="n">
        <x:v>111</x:v>
      </x:c>
      <x:c r="O255" s="30" t="str">
        <x:v>8420</x:v>
      </x:c>
      <x:c r="P255" s="25"/>
      <x:c r="Q255" s="25"/>
      <x:c r="R255" s="25"/>
      <x:c r="S255" s="25"/>
      <x:c r="T255" s="25"/>
      <x:c r="U255" s="25"/>
      <x:c r="V255" s="25"/>
    </x:row>
    <x:row r="256">
      <x:c r="A256" s="29" t="str">
        <x:v>51053900</x:v>
      </x:c>
      <x:c r="B256" s="30" t="str">
        <x:v>CX-33 EZEKIEL</x:v>
      </x:c>
      <x:c r="C256" s="30" t="str">
        <x:v>Available</x:v>
      </x:c>
      <x:c r="D256" s="30" t="str">
        <x:v>CORE - ARMY GUN CORE</x:v>
      </x:c>
      <x:c r="E256" s="30" t="n">
        <x:v>2940</x:v>
      </x:c>
      <x:c r="F256" s="30" t="n">
        <x:v>17200</x:v>
      </x:c>
      <x:c r="G256" s="30" t="n">
        <x:v>412</x:v>
      </x:c>
      <x:c r="H256" s="30" t="n">
        <x:v>1850</x:v>
      </x:c>
      <x:c r="I256" s="30" t="n">
        <x:v>1600</x:v>
      </x:c>
      <x:c r="J256" s="30" t="n">
        <x:v>4.4</x:v>
      </x:c>
      <x:c r="K256" s="30" t="n">
        <x:v>428</x:v>
      </x:c>
      <x:c r="L256" s="30" t="n">
        <x:v>103</x:v>
      </x:c>
      <x:c r="M256" s="30" t="n">
        <x:v>80</x:v>
      </x:c>
      <x:c r="N256" s="30" t="n">
        <x:v>84</x:v>
      </x:c>
      <x:c r="O256" s="30" t="str">
        <x:v>8870</x:v>
      </x:c>
      <x:c r="P256" s="25"/>
      <x:c r="Q256" s="25"/>
      <x:c r="R256" s="25"/>
      <x:c r="S256" s="25"/>
      <x:c r="T256" s="25"/>
      <x:c r="U256" s="25"/>
      <x:c r="V256" s="25"/>
    </x:row>
    <x:row r="257">
      <x:c r="A257" s="29" t="str">
        <x:v>51054000</x:v>
      </x:c>
      <x:c r="B257" s="30" t="str">
        <x:v>B-MOD_4 CAESAR</x:v>
      </x:c>
      <x:c r="C257" s="30" t="str">
        <x:v>Available</x:v>
      </x:c>
      <x:c r="D257" s="30" t="str">
        <x:v>CORE - CAESAR</x:v>
      </x:c>
      <x:c r="E257" s="30" t="n">
        <x:v>3320</x:v>
      </x:c>
      <x:c r="F257" s="30" t="n">
        <x:v>18200</x:v>
      </x:c>
      <x:c r="G257" s="30" t="n">
        <x:v>399</x:v>
      </x:c>
      <x:c r="H257" s="30" t="n">
        <x:v>1850</x:v>
      </x:c>
      <x:c r="I257" s="30" t="n">
        <x:v>1600</x:v>
      </x:c>
      <x:c r="J257" s="30" t="n">
        <x:v>1.3</x:v>
      </x:c>
      <x:c r="K257" s="30" t="n">
        <x:v>568</x:v>
      </x:c>
      <x:c r="L257" s="30" t="n">
        <x:v>120</x:v>
      </x:c>
      <x:c r="M257" s="30" t="n">
        <x:v>107</x:v>
      </x:c>
      <x:c r="N257" s="30" t="n">
        <x:v>119</x:v>
      </x:c>
      <x:c r="O257" s="30" t="str">
        <x:v>4205</x:v>
      </x:c>
      <x:c r="P257" s="25"/>
      <x:c r="Q257" s="25"/>
      <x:c r="R257" s="25"/>
      <x:c r="S257" s="25"/>
      <x:c r="T257" s="25"/>
      <x:c r="U257" s="25"/>
      <x:c r="V257" s="25"/>
    </x:row>
    <x:row r="258">
      <x:c r="A258" s="29" t="str">
        <x:v>51060900</x:v>
      </x:c>
      <x:c r="B258" s="30" t="str">
        <x:v>EL-TC-14 VALENTIA</x:v>
      </x:c>
      <x:c r="C258" s="30" t="str">
        <x:v>Available</x:v>
      </x:c>
      <x:c r="D258" s="30" t="str">
        <x:v>CORE - EL-RC-16 GRANIZO</x:v>
      </x:c>
      <x:c r="E258" s="30" t="n">
        <x:v>3850</x:v>
      </x:c>
      <x:c r="F258" s="30" t="n">
        <x:v>12790</x:v>
      </x:c>
      <x:c r="G258" s="30" t="n">
        <x:v>412</x:v>
      </x:c>
      <x:c r="H258" s="30" t="n">
        <x:v>1850</x:v>
      </x:c>
      <x:c r="I258" s="30" t="n">
        <x:v>1600</x:v>
      </x:c>
      <x:c r="J258" s="30" t="n">
        <x:v>0.5</x:v>
      </x:c>
      <x:c r="K258" s="30" t="n">
        <x:v>510</x:v>
      </x:c>
      <x:c r="L258" s="30" t="n">
        <x:v>97</x:v>
      </x:c>
      <x:c r="M258" s="30" t="n">
        <x:v>79</x:v>
      </x:c>
      <x:c r="N258" s="30" t="n">
        <x:v>81</x:v>
      </x:c>
      <x:c r="O258" s="30" t="str">
        <x:v>4021</x:v>
      </x:c>
      <x:c r="P258" s="25"/>
      <x:c r="Q258" s="25"/>
      <x:c r="R258" s="25"/>
      <x:c r="S258" s="25"/>
      <x:c r="T258" s="25"/>
      <x:c r="U258" s="25"/>
      <x:c r="V258" s="25"/>
    </x:row>
    <x:row r="259">
      <x:c r="A259" s="29" t="str">
        <x:v>51070500</x:v>
      </x:c>
      <x:c r="B259" s="30" t="str">
        <x:v>CR-1000 RAVAGER</x:v>
      </x:c>
      <x:c r="C259" s="30" t="str">
        <x:v>Available</x:v>
      </x:c>
      <x:c r="D259" s="30" t="str">
        <x:v>CORE - CR-1000 RAVAGER</x:v>
      </x:c>
      <x:c r="E259" s="30" t="n">
        <x:v>3600</x:v>
      </x:c>
      <x:c r="F259" s="30" t="n">
        <x:v>17110</x:v>
      </x:c>
      <x:c r="G259" s="30" t="n">
        <x:v>318</x:v>
      </x:c>
      <x:c r="H259" s="30" t="n">
        <x:v>1850</x:v>
      </x:c>
      <x:c r="I259" s="30" t="n">
        <x:v>1600</x:v>
      </x:c>
      <x:c r="J259" s="30" t="n">
        <x:v>11.2</x:v>
      </x:c>
      <x:c r="K259" s="30" t="n">
        <x:v>460</x:v>
      </x:c>
      <x:c r="L259" s="30" t="n">
        <x:v>112</x:v>
      </x:c>
      <x:c r="M259" s="30" t="n">
        <x:v>91</x:v>
      </x:c>
      <x:c r="N259" s="30" t="n">
        <x:v>94</x:v>
      </x:c>
      <x:c r="O259" s="30" t="str">
        <x:v>621</x:v>
      </x:c>
      <x:c r="P259" s="25"/>
      <x:c r="Q259" s="25"/>
      <x:c r="R259" s="25"/>
      <x:c r="S259" s="25"/>
      <x:c r="T259" s="25"/>
      <x:c r="U259" s="25"/>
      <x:c r="V259" s="25"/>
    </x:row>
    <x:row r="260">
      <x:c r="A260" s="29" t="str">
        <x:v>51070700</x:v>
      </x:c>
      <x:c r="B260" s="30" t="str">
        <x:v>CR-1000/RC RAVAGER</x:v>
      </x:c>
      <x:c r="C260" s="30" t="str">
        <x:v>Available</x:v>
      </x:c>
      <x:c r="D260" s="30" t="str">
        <x:v>CORE - CR-1000 RAVAGER/RC</x:v>
      </x:c>
      <x:c r="E260" s="30" t="n">
        <x:v>2370</x:v>
      </x:c>
      <x:c r="F260" s="30" t="n">
        <x:v>13210</x:v>
      </x:c>
      <x:c r="G260" s="30" t="n">
        <x:v>269</x:v>
      </x:c>
      <x:c r="H260" s="30" t="n">
        <x:v>1850</x:v>
      </x:c>
      <x:c r="I260" s="30" t="n">
        <x:v>1600</x:v>
      </x:c>
      <x:c r="J260" s="30" t="n">
        <x:v>0.95</x:v>
      </x:c>
      <x:c r="K260" s="30" t="n">
        <x:v>350</x:v>
      </x:c>
      <x:c r="L260" s="30" t="n">
        <x:v>106</x:v>
      </x:c>
      <x:c r="M260" s="30" t="n">
        <x:v>79</x:v>
      </x:c>
      <x:c r="N260" s="30" t="n">
        <x:v>82</x:v>
      </x:c>
      <x:c r="O260" s="30" t="str">
        <x:v>6210</x:v>
      </x:c>
      <x:c r="P260" s="25"/>
      <x:c r="Q260" s="25"/>
      <x:c r="R260" s="25"/>
      <x:c r="S260" s="25"/>
      <x:c r="T260" s="25"/>
      <x:c r="U260" s="25"/>
      <x:c r="V260" s="25"/>
    </x:row>
    <x:row r="261">
      <x:c r="A261" s="29" t="str">
        <x:v>51074100</x:v>
      </x:c>
      <x:c r="B261" s="30" t="str">
        <x:v>MAD-E-N-66-DO HYSTERIC</x:v>
      </x:c>
      <x:c r="C261" s="30" t="str">
        <x:v>Available</x:v>
      </x:c>
      <x:c r="D261" s="30" t="str">
        <x:v>CORE - Hysteric</x:v>
      </x:c>
      <x:c r="E261" s="30" t="n">
        <x:v>2300</x:v>
      </x:c>
      <x:c r="F261" s="30" t="n">
        <x:v>9911</x:v>
      </x:c>
      <x:c r="G261" s="30" t="n">
        <x:v>344</x:v>
      </x:c>
      <x:c r="H261" s="30" t="n">
        <x:v>1850</x:v>
      </x:c>
      <x:c r="I261" s="30" t="n">
        <x:v>1600</x:v>
      </x:c>
      <x:c r="J261" s="30" t="n">
        <x:v>-2.4</x:v>
      </x:c>
      <x:c r="K261" s="30" t="n">
        <x:v>377</x:v>
      </x:c>
      <x:c r="L261" s="30" t="n">
        <x:v>97</x:v>
      </x:c>
      <x:c r="M261" s="30" t="n">
        <x:v>81</x:v>
      </x:c>
      <x:c r="N261" s="30" t="n">
        <x:v>73</x:v>
      </x:c>
      <x:c r="O261" s="30" t="str">
        <x:v>2012</x:v>
      </x:c>
      <x:c r="P261" s="25"/>
      <x:c r="Q261" s="25"/>
      <x:c r="R261" s="25"/>
      <x:c r="S261" s="25"/>
      <x:c r="T261" s="25"/>
      <x:c r="U261" s="25"/>
      <x:c r="V261" s="25"/>
    </x:row>
    <x:row r="262">
      <x:c r="A262" s="29" t="str">
        <x:v>51082700</x:v>
      </x:c>
      <x:c r="B262" s="30" t="str">
        <x:v>ABENDGANS/40T</x:v>
      </x:c>
      <x:c r="C262" s="30" t="str">
        <x:v>Available</x:v>
      </x:c>
      <x:c r="D262" s="30" t="str">
        <x:v>CORE - FRAGILE</x:v>
      </x:c>
      <x:c r="E262" s="30" t="n">
        <x:v>2360</x:v>
      </x:c>
      <x:c r="F262" s="30" t="n">
        <x:v>9540</x:v>
      </x:c>
      <x:c r="G262" s="30" t="n">
        <x:v>289</x:v>
      </x:c>
      <x:c r="H262" s="30" t="n">
        <x:v>1850</x:v>
      </x:c>
      <x:c r="I262" s="30" t="n">
        <x:v>1600</x:v>
      </x:c>
      <x:c r="J262" s="30" t="n">
        <x:v>-2</x:v>
      </x:c>
      <x:c r="K262" s="30" t="n">
        <x:v>310</x:v>
      </x:c>
      <x:c r="L262" s="30" t="n">
        <x:v>119</x:v>
      </x:c>
      <x:c r="M262" s="30" t="n">
        <x:v>120</x:v>
      </x:c>
      <x:c r="N262" s="30" t="n">
        <x:v>118</x:v>
      </x:c>
      <x:c r="O262" s="30" t="str">
        <x:v>8890</x:v>
      </x:c>
      <x:c r="P262" s="25"/>
      <x:c r="Q262" s="25"/>
      <x:c r="R262" s="25"/>
      <x:c r="S262" s="25"/>
      <x:c r="T262" s="25"/>
      <x:c r="U262" s="25"/>
      <x:c r="V262" s="25"/>
    </x:row>
    <x:row r="263">
      <x:c r="A263" s="29" t="str">
        <x:v>51888800</x:v>
      </x:c>
      <x:c r="B263" s="30" t="str">
        <x:v>FV2M79 QUETZALCOATL</x:v>
      </x:c>
      <x:c r="C263" s="30" t="str">
        <x:v>Available</x:v>
      </x:c>
      <x:c r="D263" s="30" t="str">
        <x:v>CORE - Poorly Disguised Scalie</x:v>
      </x:c>
      <x:c r="E263" s="30" t="n">
        <x:v>3755</x:v>
      </x:c>
      <x:c r="F263" s="30" t="n">
        <x:v>18010</x:v>
      </x:c>
      <x:c r="G263" s="30" t="n">
        <x:v>370</x:v>
      </x:c>
      <x:c r="H263" s="30" t="n">
        <x:v>1850</x:v>
      </x:c>
      <x:c r="I263" s="30" t="n">
        <x:v>1600</x:v>
      </x:c>
      <x:c r="J263" s="30" t="n">
        <x:v>11</x:v>
      </x:c>
      <x:c r="K263" s="30" t="n">
        <x:v>481</x:v>
      </x:c>
      <x:c r="L263" s="30" t="n">
        <x:v>108</x:v>
      </x:c>
      <x:c r="M263" s="30" t="n">
        <x:v>92</x:v>
      </x:c>
      <x:c r="N263" s="30" t="n">
        <x:v>105</x:v>
      </x:c>
      <x:c r="O263" s="30" t="str">
        <x:v>4445</x:v>
      </x:c>
      <x:c r="P263" s="25"/>
      <x:c r="Q263" s="25"/>
      <x:c r="R263" s="25"/>
      <x:c r="S263" s="25"/>
      <x:c r="T263" s="25"/>
      <x:c r="U263" s="25"/>
      <x:c r="V263" s="25"/>
    </x:row>
    <x:row r="264">
      <x:c r="A264" s="31" t="str">
        <x:v>99900100</x:v>
      </x:c>
      <x:c r="B264" s="32" t="str">
        <x:v>CC-2000 MANGLED CORE</x:v>
      </x:c>
      <x:c r="C264" s="32" t="str">
        <x:v>Available</x:v>
      </x:c>
      <x:c r="D264" s="32" t="str">
        <x:v>CORE [NPC] - CC-2000 ORBITER (Damaged)</x:v>
      </x:c>
      <x:c r="E264" s="32" t="n">
        <x:v>2780</x:v>
      </x:c>
      <x:c r="F264" s="32" t="n">
        <x:v>12650</x:v>
      </x:c>
      <x:c r="G264" s="32" t="n">
        <x:v>252</x:v>
      </x:c>
      <x:c r="H264" s="32" t="n">
        <x:v>1850</x:v>
      </x:c>
      <x:c r="I264" s="32" t="n">
        <x:v>1600</x:v>
      </x:c>
      <x:c r="J264" s="32" t="n">
        <x:v>-1.55</x:v>
      </x:c>
      <x:c r="K264" s="32" t="n">
        <x:v>378</x:v>
      </x:c>
      <x:c r="L264" s="32" t="n">
        <x:v>96</x:v>
      </x:c>
      <x:c r="M264" s="32" t="n">
        <x:v>93</x:v>
      </x:c>
      <x:c r="N264" s="32" t="n">
        <x:v>92</x:v>
      </x:c>
      <x:c r="O264" s="32" t="str">
        <x:v>9400</x:v>
      </x:c>
      <x:c r="P264" s="25"/>
      <x:c r="Q264" s="25"/>
      <x:c r="R264" s="25"/>
      <x:c r="S264" s="25"/>
      <x:c r="T264" s="25"/>
      <x:c r="U264" s="25"/>
      <x:c r="V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  <x:c r="I265" s="25"/>
      <x:c r="J265" s="25"/>
      <x:c r="K265" s="25"/>
      <x:c r="L265" s="25"/>
      <x:c r="M265" s="25"/>
      <x:c r="N265" s="25"/>
      <x:c r="O265" s="25"/>
      <x:c r="P265" s="25"/>
      <x:c r="Q265" s="25"/>
      <x:c r="R265" s="25"/>
      <x:c r="S265" s="25"/>
      <x:c r="T265" s="25"/>
      <x:c r="U265" s="25"/>
      <x:c r="V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  <x:c r="I266" s="25"/>
      <x:c r="J266" s="25"/>
      <x:c r="K266" s="25"/>
      <x:c r="L266" s="25"/>
      <x:c r="M266" s="25"/>
      <x:c r="N266" s="25"/>
      <x:c r="O266" s="25"/>
      <x:c r="P266" s="25"/>
      <x:c r="Q266" s="25"/>
      <x:c r="R266" s="25"/>
      <x:c r="S266" s="25"/>
      <x:c r="T266" s="25"/>
      <x:c r="U266" s="25"/>
      <x:c r="V266" s="25"/>
    </x:row>
    <x:row r="267" ht="25" customHeight="1">
      <x:c r="A267" s="41" t="str">
        <x:v>Armor — Arms  •  29 parts</x:v>
      </x:c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25"/>
      <x:c r="Q267" s="25"/>
      <x:c r="R267" s="25"/>
      <x:c r="S267" s="25"/>
      <x:c r="T267" s="25"/>
      <x:c r="U267" s="25"/>
      <x:c r="V267" s="25"/>
    </x:row>
    <x:row r="268" ht="32" customHeight="1">
      <x:c r="A268" s="42" t="str">
        <x:v>ID</x:v>
      </x:c>
      <x:c r="B268" s="42" t="str">
        <x:v>Part Name</x:v>
      </x:c>
      <x:c r="C268" s="42" t="str">
        <x:v>Data Status</x:v>
      </x:c>
      <x:c r="D268" s="42" t="str">
        <x:v>Internal Label</x:v>
      </x:c>
      <x:c r="E268" s="42" t="str">
        <x:v>AP</x:v>
      </x:c>
      <x:c r="F268" s="42" t="str">
        <x:v>Weight</x:v>
      </x:c>
      <x:c r="G268" s="42" t="str">
        <x:v>EN Load</x:v>
      </x:c>
      <x:c r="H268" s="42" t="str">
        <x:v>Kinetic Defense</x:v>
      </x:c>
      <x:c r="I268" s="42" t="str">
        <x:v>Energy Defense</x:v>
      </x:c>
      <x:c r="J268" s="42" t="str">
        <x:v>Explosive Defense</x:v>
      </x:c>
      <x:c r="K268" s="42" t="str">
        <x:v>Recoil Control</x:v>
      </x:c>
      <x:c r="L268" s="42" t="str">
        <x:v>Arms Load Limit</x:v>
      </x:c>
      <x:c r="M268" s="42" t="str">
        <x:v>Firearm Specialization</x:v>
      </x:c>
      <x:c r="N268" s="42" t="str">
        <x:v>Melee Specialization</x:v>
      </x:c>
      <x:c r="O268" s="42" t="str">
        <x:v>Model ID</x:v>
      </x:c>
      <x:c r="P268" s="25"/>
      <x:c r="Q268" s="25"/>
      <x:c r="R268" s="25"/>
      <x:c r="S268" s="25"/>
      <x:c r="T268" s="25"/>
      <x:c r="U268" s="25"/>
      <x:c r="V268" s="25"/>
    </x:row>
    <x:row r="269">
      <x:c r="A269" s="27" t="str">
        <x:v>52000800</x:v>
      </x:c>
      <x:c r="B269" s="28" t="str">
        <x:v>ACA-G4/P03SAR</x:v>
      </x:c>
      <x:c r="C269" s="28" t="str">
        <x:v>Available</x:v>
      </x:c>
      <x:c r="D269" s="28" t="str">
        <x:v>ARMS - Sarah's Frame!!</x:v>
      </x:c>
      <x:c r="E269" s="28" t="n">
        <x:v>2150</x:v>
      </x:c>
      <x:c r="F269" s="28" t="n">
        <x:v>13050</x:v>
      </x:c>
      <x:c r="G269" s="28" t="n">
        <x:v>332</x:v>
      </x:c>
      <x:c r="H269" s="28" t="n">
        <x:v>800</x:v>
      </x:c>
      <x:c r="I269" s="28" t="n">
        <x:v>650</x:v>
      </x:c>
      <x:c r="J269" s="28" t="n">
        <x:v>4.8</x:v>
      </x:c>
      <x:c r="K269" s="28" t="n">
        <x:v>150</x:v>
      </x:c>
      <x:c r="L269" s="28" t="n">
        <x:v>11300</x:v>
      </x:c>
      <x:c r="M269" s="28" t="n">
        <x:v>100</x:v>
      </x:c>
      <x:c r="N269" s="28" t="n">
        <x:v>145</x:v>
      </x:c>
      <x:c r="O269" s="28" t="str">
        <x:v>6448</x:v>
      </x:c>
      <x:c r="P269" s="25"/>
      <x:c r="Q269" s="25"/>
      <x:c r="R269" s="25"/>
      <x:c r="S269" s="25"/>
      <x:c r="T269" s="25"/>
      <x:c r="U269" s="25"/>
      <x:c r="V269" s="25"/>
    </x:row>
    <x:row r="270">
      <x:c r="A270" s="29" t="str">
        <x:v>52002500</x:v>
      </x:c>
      <x:c r="B270" s="30" t="str">
        <x:v>AAP21/A: WARDEN</x:v>
      </x:c>
      <x:c r="C270" s="30" t="str">
        <x:v>Available</x:v>
      </x:c>
      <x:c r="D270" s="30" t="str">
        <x:v>ARMS - PCA Frame</x:v>
      </x:c>
      <x:c r="E270" s="30" t="n">
        <x:v>2015</x:v>
      </x:c>
      <x:c r="F270" s="30" t="n">
        <x:v>12520</x:v>
      </x:c>
      <x:c r="G270" s="30" t="n">
        <x:v>220</x:v>
      </x:c>
      <x:c r="H270" s="30" t="n">
        <x:v>800</x:v>
      </x:c>
      <x:c r="I270" s="30" t="n">
        <x:v>650</x:v>
      </x:c>
      <x:c r="J270" s="30" t="n">
        <x:v>3.35</x:v>
      </x:c>
      <x:c r="K270" s="30" t="n">
        <x:v>109</x:v>
      </x:c>
      <x:c r="L270" s="30" t="n">
        <x:v>16600</x:v>
      </x:c>
      <x:c r="M270" s="30" t="n">
        <x:v>130</x:v>
      </x:c>
      <x:c r="N270" s="30" t="n">
        <x:v>132</x:v>
      </x:c>
      <x:c r="O270" s="30" t="str">
        <x:v>699</x:v>
      </x:c>
      <x:c r="P270" s="25"/>
      <x:c r="Q270" s="25"/>
      <x:c r="R270" s="25"/>
      <x:c r="S270" s="25"/>
      <x:c r="T270" s="25"/>
      <x:c r="U270" s="25"/>
      <x:c r="V270" s="25"/>
    </x:row>
    <x:row r="271">
      <x:c r="A271" s="29" t="str">
        <x:v>52020100</x:v>
      </x:c>
      <x:c r="B271" s="30" t="str">
        <x:v>EISVOGEL/46K</x:v>
      </x:c>
      <x:c r="C271" s="30" t="str">
        <x:v>Available</x:v>
      </x:c>
      <x:c r="D271" s="30" t="str">
        <x:v>ARMS - EISVOGEL</x:v>
      </x:c>
      <x:c r="E271" s="30" t="n">
        <x:v>1540</x:v>
      </x:c>
      <x:c r="F271" s="30" t="n">
        <x:v>11330</x:v>
      </x:c>
      <x:c r="G271" s="30" t="n">
        <x:v>300</x:v>
      </x:c>
      <x:c r="H271" s="30" t="n">
        <x:v>800</x:v>
      </x:c>
      <x:c r="I271" s="30" t="n">
        <x:v>650</x:v>
      </x:c>
      <x:c r="J271" s="30" t="n">
        <x:v>-0.2</x:v>
      </x:c>
      <x:c r="K271" s="30" t="n">
        <x:v>131</x:v>
      </x:c>
      <x:c r="L271" s="30" t="n">
        <x:v>13900</x:v>
      </x:c>
      <x:c r="M271" s="30" t="n">
        <x:v>100</x:v>
      </x:c>
      <x:c r="N271" s="30" t="n">
        <x:v>131</x:v>
      </x:c>
      <x:c r="O271" s="30" t="str">
        <x:v>1999</x:v>
      </x:c>
      <x:c r="P271" s="25"/>
      <x:c r="Q271" s="25"/>
      <x:c r="R271" s="25"/>
      <x:c r="S271" s="25"/>
      <x:c r="T271" s="25"/>
      <x:c r="U271" s="25"/>
      <x:c r="V271" s="25"/>
    </x:row>
    <x:row r="272">
      <x:c r="A272" s="29" t="str">
        <x:v>52020300</x:v>
      </x:c>
      <x:c r="B272" s="30" t="str">
        <x:v>CRAZ-OUT-11 SERENITY</x:v>
      </x:c>
      <x:c r="C272" s="30" t="str">
        <x:v>Available</x:v>
      </x:c>
      <x:c r="D272" s="30" t="str">
        <x:v>ARMS - SERENITY</x:v>
      </x:c>
      <x:c r="E272" s="30" t="n">
        <x:v>1965</x:v>
      </x:c>
      <x:c r="F272" s="30" t="n">
        <x:v>14310</x:v>
      </x:c>
      <x:c r="G272" s="30" t="n">
        <x:v>287</x:v>
      </x:c>
      <x:c r="H272" s="30" t="n">
        <x:v>800</x:v>
      </x:c>
      <x:c r="I272" s="30" t="n">
        <x:v>650</x:v>
      </x:c>
      <x:c r="J272" s="30" t="n">
        <x:v>4.98</x:v>
      </x:c>
      <x:c r="K272" s="30" t="n">
        <x:v>122</x:v>
      </x:c>
      <x:c r="L272" s="30" t="n">
        <x:v>19130</x:v>
      </x:c>
      <x:c r="M272" s="30" t="n">
        <x:v>100</x:v>
      </x:c>
      <x:c r="N272" s="30" t="n">
        <x:v>144</x:v>
      </x:c>
      <x:c r="O272" s="30" t="str">
        <x:v>8069</x:v>
      </x:c>
      <x:c r="P272" s="25"/>
      <x:c r="Q272" s="25"/>
      <x:c r="R272" s="25"/>
      <x:c r="S272" s="25"/>
      <x:c r="T272" s="25"/>
      <x:c r="U272" s="25"/>
      <x:c r="V272" s="25"/>
    </x:row>
    <x:row r="273">
      <x:c r="A273" s="29" t="str">
        <x:v>52030200</x:v>
      </x:c>
      <x:c r="B273" s="30" t="str">
        <x:v>AAP07/A: BALTEUS</x:v>
      </x:c>
      <x:c r="C273" s="30" t="str">
        <x:v>Available</x:v>
      </x:c>
      <x:c r="D273" s="30" t="str">
        <x:v>ARMS - AAP07 BALTEUS</x:v>
      </x:c>
      <x:c r="E273" s="30" t="n">
        <x:v>2090</x:v>
      </x:c>
      <x:c r="F273" s="30" t="n">
        <x:v>14960</x:v>
      </x:c>
      <x:c r="G273" s="30" t="n">
        <x:v>430</x:v>
      </x:c>
      <x:c r="H273" s="30" t="n">
        <x:v>800</x:v>
      </x:c>
      <x:c r="I273" s="30" t="n">
        <x:v>650</x:v>
      </x:c>
      <x:c r="J273" s="30" t="n">
        <x:v>4</x:v>
      </x:c>
      <x:c r="K273" s="30" t="n">
        <x:v>198</x:v>
      </x:c>
      <x:c r="L273" s="30" t="n">
        <x:v>16800</x:v>
      </x:c>
      <x:c r="M273" s="30" t="n">
        <x:v>100</x:v>
      </x:c>
      <x:c r="N273" s="30" t="n">
        <x:v>78</x:v>
      </x:c>
      <x:c r="O273" s="30" t="str">
        <x:v>4020</x:v>
      </x:c>
      <x:c r="P273" s="25"/>
      <x:c r="Q273" s="25"/>
      <x:c r="R273" s="25"/>
      <x:c r="S273" s="25"/>
      <x:c r="T273" s="25"/>
      <x:c r="U273" s="25"/>
      <x:c r="V273" s="25"/>
    </x:row>
    <x:row r="274">
      <x:c r="A274" s="29" t="str">
        <x:v>52054000</x:v>
      </x:c>
      <x:c r="B274" s="30" t="str">
        <x:v>A-MOD_4 CAESAR</x:v>
      </x:c>
      <x:c r="C274" s="30" t="str">
        <x:v>Available</x:v>
      </x:c>
      <x:c r="D274" s="30" t="str">
        <x:v>ARMS - CAESAR</x:v>
      </x:c>
      <x:c r="E274" s="30" t="n">
        <x:v>2000</x:v>
      </x:c>
      <x:c r="F274" s="30" t="n">
        <x:v>14700</x:v>
      </x:c>
      <x:c r="G274" s="30" t="n">
        <x:v>373</x:v>
      </x:c>
      <x:c r="H274" s="30" t="n">
        <x:v>800</x:v>
      </x:c>
      <x:c r="I274" s="30" t="n">
        <x:v>650</x:v>
      </x:c>
      <x:c r="J274" s="30" t="n">
        <x:v>1.9</x:v>
      </x:c>
      <x:c r="K274" s="30" t="n">
        <x:v>138</x:v>
      </x:c>
      <x:c r="L274" s="30" t="n">
        <x:v>17100</x:v>
      </x:c>
      <x:c r="M274" s="30" t="n">
        <x:v>100</x:v>
      </x:c>
      <x:c r="N274" s="30" t="n">
        <x:v>82</x:v>
      </x:c>
      <x:c r="O274" s="30" t="str">
        <x:v>4205</x:v>
      </x:c>
      <x:c r="P274" s="25"/>
      <x:c r="Q274" s="25"/>
      <x:c r="R274" s="25"/>
      <x:c r="S274" s="25"/>
      <x:c r="T274" s="25"/>
      <x:c r="U274" s="25"/>
      <x:c r="V274" s="25"/>
    </x:row>
    <x:row r="275">
      <x:c r="A275" s="29" t="str">
        <x:v>52054100</x:v>
      </x:c>
      <x:c r="B275" s="30" t="str">
        <x:v>A-MOD_4B JET CAESAR</x:v>
      </x:c>
      <x:c r="C275" s="30" t="str">
        <x:v>Available</x:v>
      </x:c>
      <x:c r="D275" s="30" t="str">
        <x:v>ARMS - CAESAR (JET)</x:v>
      </x:c>
      <x:c r="E275" s="30" t="n">
        <x:v>2200</x:v>
      </x:c>
      <x:c r="F275" s="30" t="n">
        <x:v>21800</x:v>
      </x:c>
      <x:c r="G275" s="30" t="n">
        <x:v>420</x:v>
      </x:c>
      <x:c r="H275" s="30" t="n">
        <x:v>800</x:v>
      </x:c>
      <x:c r="I275" s="30" t="n">
        <x:v>650</x:v>
      </x:c>
      <x:c r="J275" s="30" t="n">
        <x:v>3.9</x:v>
      </x:c>
      <x:c r="K275" s="30" t="n">
        <x:v>111</x:v>
      </x:c>
      <x:c r="L275" s="30" t="n">
        <x:v>22000</x:v>
      </x:c>
      <x:c r="M275" s="30" t="n">
        <x:v>100</x:v>
      </x:c>
      <x:c r="N275" s="30" t="n">
        <x:v>31</x:v>
      </x:c>
      <x:c r="O275" s="30" t="str">
        <x:v>4206</x:v>
      </x:c>
      <x:c r="P275" s="25"/>
      <x:c r="Q275" s="25"/>
      <x:c r="R275" s="25"/>
      <x:c r="S275" s="25"/>
      <x:c r="T275" s="25"/>
      <x:c r="U275" s="25"/>
      <x:c r="V275" s="25"/>
    </x:row>
    <x:row r="276">
      <x:c r="A276" s="29" t="str">
        <x:v>52060900</x:v>
      </x:c>
      <x:c r="B276" s="30" t="str">
        <x:v>EL-TA-14 VALENTIA</x:v>
      </x:c>
      <x:c r="C276" s="30" t="str">
        <x:v>Available</x:v>
      </x:c>
      <x:c r="D276" s="30" t="str">
        <x:v>ARMS - EL-RC-16 GRANIZO</x:v>
      </x:c>
      <x:c r="E276" s="30" t="n">
        <x:v>2460</x:v>
      </x:c>
      <x:c r="F276" s="30" t="n">
        <x:v>11910</x:v>
      </x:c>
      <x:c r="G276" s="30" t="n">
        <x:v>306</x:v>
      </x:c>
      <x:c r="H276" s="30" t="n">
        <x:v>800</x:v>
      </x:c>
      <x:c r="I276" s="30" t="n">
        <x:v>650</x:v>
      </x:c>
      <x:c r="J276" s="30" t="n">
        <x:v>0.4</x:v>
      </x:c>
      <x:c r="K276" s="30" t="n">
        <x:v>93</x:v>
      </x:c>
      <x:c r="L276" s="30" t="n">
        <x:v>11380</x:v>
      </x:c>
      <x:c r="M276" s="30" t="n">
        <x:v>100</x:v>
      </x:c>
      <x:c r="N276" s="30" t="n">
        <x:v>77</x:v>
      </x:c>
      <x:c r="O276" s="30" t="str">
        <x:v>4021</x:v>
      </x:c>
      <x:c r="P276" s="25"/>
      <x:c r="Q276" s="25"/>
      <x:c r="R276" s="25"/>
      <x:c r="S276" s="25"/>
      <x:c r="T276" s="25"/>
      <x:c r="U276" s="25"/>
      <x:c r="V276" s="25"/>
    </x:row>
    <x:row r="277">
      <x:c r="A277" s="29" t="str">
        <x:v>52070500</x:v>
      </x:c>
      <x:c r="B277" s="30" t="str">
        <x:v>AR-1000 RAVAGER</x:v>
      </x:c>
      <x:c r="C277" s="30" t="str">
        <x:v>Available</x:v>
      </x:c>
      <x:c r="D277" s="30" t="str">
        <x:v>ARMS - AR-1000 RAVAGER</x:v>
      </x:c>
      <x:c r="E277" s="30" t="n">
        <x:v>2450</x:v>
      </x:c>
      <x:c r="F277" s="30" t="n">
        <x:v>14680</x:v>
      </x:c>
      <x:c r="G277" s="30" t="n">
        <x:v>370</x:v>
      </x:c>
      <x:c r="H277" s="30" t="n">
        <x:v>800</x:v>
      </x:c>
      <x:c r="I277" s="30" t="n">
        <x:v>650</x:v>
      </x:c>
      <x:c r="J277" s="30" t="n">
        <x:v>4.7</x:v>
      </x:c>
      <x:c r="K277" s="30" t="n">
        <x:v>122</x:v>
      </x:c>
      <x:c r="L277" s="30" t="n">
        <x:v>13450</x:v>
      </x:c>
      <x:c r="M277" s="30" t="n">
        <x:v>100</x:v>
      </x:c>
      <x:c r="N277" s="30" t="n">
        <x:v>118</x:v>
      </x:c>
      <x:c r="O277" s="30" t="str">
        <x:v>621</x:v>
      </x:c>
      <x:c r="P277" s="25"/>
      <x:c r="Q277" s="25"/>
      <x:c r="R277" s="25"/>
      <x:c r="S277" s="25"/>
      <x:c r="T277" s="25"/>
      <x:c r="U277" s="25"/>
      <x:c r="V277" s="25"/>
    </x:row>
    <x:row r="278">
      <x:c r="A278" s="29" t="str">
        <x:v>52070700</x:v>
      </x:c>
      <x:c r="B278" s="30" t="str">
        <x:v>AR-1000/RC RAVAGER</x:v>
      </x:c>
      <x:c r="C278" s="30" t="str">
        <x:v>Available</x:v>
      </x:c>
      <x:c r="D278" s="30" t="str">
        <x:v>ARMS - AR-1000 RAVAGER/RC (Missing arm)</x:v>
      </x:c>
      <x:c r="E278" s="30" t="n">
        <x:v>1380</x:v>
      </x:c>
      <x:c r="F278" s="30" t="n">
        <x:v>9180</x:v>
      </x:c>
      <x:c r="G278" s="30" t="n">
        <x:v>195</x:v>
      </x:c>
      <x:c r="H278" s="30" t="n">
        <x:v>800</x:v>
      </x:c>
      <x:c r="I278" s="30" t="n">
        <x:v>650</x:v>
      </x:c>
      <x:c r="J278" s="30" t="n">
        <x:v>-0.7</x:v>
      </x:c>
      <x:c r="K278" s="30" t="n">
        <x:v>91</x:v>
      </x:c>
      <x:c r="L278" s="30" t="n">
        <x:v>11250</x:v>
      </x:c>
      <x:c r="M278" s="30" t="n">
        <x:v>100</x:v>
      </x:c>
      <x:c r="N278" s="30" t="n">
        <x:v>0</x:v>
      </x:c>
      <x:c r="O278" s="30" t="str">
        <x:v>6211</x:v>
      </x:c>
      <x:c r="P278" s="25"/>
      <x:c r="Q278" s="25"/>
      <x:c r="R278" s="25"/>
      <x:c r="S278" s="25"/>
      <x:c r="T278" s="25"/>
      <x:c r="U278" s="25"/>
      <x:c r="V278" s="25"/>
    </x:row>
    <x:row r="279">
      <x:c r="A279" s="29" t="str">
        <x:v>52070800</x:v>
      </x:c>
      <x:c r="B279" s="30" t="str">
        <x:v>AR-1000/RC RAVAGER</x:v>
      </x:c>
      <x:c r="C279" s="30" t="str">
        <x:v>Available</x:v>
      </x:c>
      <x:c r="D279" s="30" t="str">
        <x:v>ARMS - AR-1000 RAVAGER/RC (Repaired)</x:v>
      </x:c>
      <x:c r="E279" s="30" t="n">
        <x:v>1420</x:v>
      </x:c>
      <x:c r="F279" s="30" t="n">
        <x:v>9450</x:v>
      </x:c>
      <x:c r="G279" s="30" t="n">
        <x:v>198</x:v>
      </x:c>
      <x:c r="H279" s="30" t="n">
        <x:v>800</x:v>
      </x:c>
      <x:c r="I279" s="30" t="n">
        <x:v>650</x:v>
      </x:c>
      <x:c r="J279" s="30" t="n">
        <x:v>-0.7</x:v>
      </x:c>
      <x:c r="K279" s="30" t="n">
        <x:v>91</x:v>
      </x:c>
      <x:c r="L279" s="30" t="n">
        <x:v>12630</x:v>
      </x:c>
      <x:c r="M279" s="30" t="n">
        <x:v>100</x:v>
      </x:c>
      <x:c r="N279" s="30" t="n">
        <x:v>41</x:v>
      </x:c>
      <x:c r="O279" s="30" t="str">
        <x:v>6210</x:v>
      </x:c>
      <x:c r="P279" s="25"/>
      <x:c r="Q279" s="25"/>
      <x:c r="R279" s="25"/>
      <x:c r="S279" s="25"/>
      <x:c r="T279" s="25"/>
      <x:c r="U279" s="25"/>
      <x:c r="V279" s="25"/>
    </x:row>
    <x:row r="280">
      <x:c r="A280" s="29" t="str">
        <x:v>52074100</x:v>
      </x:c>
      <x:c r="B280" s="30" t="str">
        <x:v>MAD-E-N-66-DO HYSTERIC</x:v>
      </x:c>
      <x:c r="C280" s="30" t="str">
        <x:v>Available</x:v>
      </x:c>
      <x:c r="D280" s="30" t="str">
        <x:v>ARMS - Hysteric</x:v>
      </x:c>
      <x:c r="E280" s="30" t="n">
        <x:v>930</x:v>
      </x:c>
      <x:c r="F280" s="30" t="n">
        <x:v>10180</x:v>
      </x:c>
      <x:c r="G280" s="30" t="n">
        <x:v>278</x:v>
      </x:c>
      <x:c r="H280" s="30" t="n">
        <x:v>800</x:v>
      </x:c>
      <x:c r="I280" s="30" t="n">
        <x:v>650</x:v>
      </x:c>
      <x:c r="J280" s="30" t="n">
        <x:v>-2.3</x:v>
      </x:c>
      <x:c r="K280" s="30" t="n">
        <x:v>87</x:v>
      </x:c>
      <x:c r="L280" s="30" t="n">
        <x:v>11700</x:v>
      </x:c>
      <x:c r="M280" s="30" t="n">
        <x:v>100</x:v>
      </x:c>
      <x:c r="N280" s="30" t="n">
        <x:v>110</x:v>
      </x:c>
      <x:c r="O280" s="30" t="str">
        <x:v>2012</x:v>
      </x:c>
      <x:c r="P280" s="25"/>
      <x:c r="Q280" s="25"/>
      <x:c r="R280" s="25"/>
      <x:c r="S280" s="25"/>
      <x:c r="T280" s="25"/>
      <x:c r="U280" s="25"/>
      <x:c r="V280" s="25"/>
    </x:row>
    <x:row r="281">
      <x:c r="A281" s="29" t="str">
        <x:v>52080500</x:v>
      </x:c>
      <x:c r="B281" s="30" t="str">
        <x:v>FV3M01 BASILISK</x:v>
      </x:c>
      <x:c r="C281" s="30" t="str">
        <x:v>Available</x:v>
      </x:c>
      <x:c r="D281" s="30" t="str">
        <x:v>ARMS - DRAGON</x:v>
      </x:c>
      <x:c r="E281" s="30" t="n">
        <x:v>1980</x:v>
      </x:c>
      <x:c r="F281" s="30" t="n">
        <x:v>10980</x:v>
      </x:c>
      <x:c r="G281" s="30" t="n">
        <x:v>325</x:v>
      </x:c>
      <x:c r="H281" s="30" t="n">
        <x:v>800</x:v>
      </x:c>
      <x:c r="I281" s="30" t="n">
        <x:v>650</x:v>
      </x:c>
      <x:c r="J281" s="30" t="n">
        <x:v>1.3</x:v>
      </x:c>
      <x:c r="K281" s="30" t="n">
        <x:v>89</x:v>
      </x:c>
      <x:c r="L281" s="30" t="n">
        <x:v>13200</x:v>
      </x:c>
      <x:c r="M281" s="30" t="n">
        <x:v>100</x:v>
      </x:c>
      <x:c r="N281" s="30" t="n">
        <x:v>91</x:v>
      </x:c>
      <x:c r="O281" s="30" t="str">
        <x:v>8152</x:v>
      </x:c>
      <x:c r="P281" s="25"/>
      <x:c r="Q281" s="25"/>
      <x:c r="R281" s="25"/>
      <x:c r="S281" s="25"/>
      <x:c r="T281" s="25"/>
      <x:c r="U281" s="25"/>
      <x:c r="V281" s="25"/>
    </x:row>
    <x:row r="282">
      <x:c r="A282" s="29" t="str">
        <x:v>52080600</x:v>
      </x:c>
      <x:c r="B282" s="30" t="str">
        <x:v>MAD-FL-34-G-AM NIGHTMARISH</x:v>
      </x:c>
      <x:c r="C282" s="30" t="str">
        <x:v>Available</x:v>
      </x:c>
      <x:c r="D282" s="30" t="str">
        <x:v>ARMS - NIGHTMARE</x:v>
      </x:c>
      <x:c r="E282" s="30" t="n">
        <x:v>2380</x:v>
      </x:c>
      <x:c r="F282" s="30" t="n">
        <x:v>13600</x:v>
      </x:c>
      <x:c r="G282" s="30" t="n">
        <x:v>420</x:v>
      </x:c>
      <x:c r="H282" s="30" t="n">
        <x:v>800</x:v>
      </x:c>
      <x:c r="I282" s="30" t="n">
        <x:v>650</x:v>
      </x:c>
      <x:c r="J282" s="30" t="n">
        <x:v>0.1</x:v>
      </x:c>
      <x:c r="K282" s="30" t="n">
        <x:v>110</x:v>
      </x:c>
      <x:c r="L282" s="30" t="n">
        <x:v>14000</x:v>
      </x:c>
      <x:c r="M282" s="30" t="n">
        <x:v>100</x:v>
      </x:c>
      <x:c r="N282" s="30" t="n">
        <x:v>160</x:v>
      </x:c>
      <x:c r="O282" s="30" t="str">
        <x:v>1034</x:v>
      </x:c>
      <x:c r="P282" s="25"/>
      <x:c r="Q282" s="25"/>
      <x:c r="R282" s="25"/>
      <x:c r="S282" s="25"/>
      <x:c r="T282" s="25"/>
      <x:c r="U282" s="25"/>
      <x:c r="V282" s="25"/>
    </x:row>
    <x:row r="283">
      <x:c r="A283" s="29" t="str">
        <x:v>52080700</x:v>
      </x:c>
      <x:c r="B283" s="30" t="str">
        <x:v>A-MOD_14 LANISTA</x:v>
      </x:c>
      <x:c r="C283" s="30" t="str">
        <x:v>Available</x:v>
      </x:c>
      <x:c r="D283" s="30" t="str">
        <x:v>ARMS - LANISTA</x:v>
      </x:c>
      <x:c r="E283" s="30" t="n">
        <x:v>2550</x:v>
      </x:c>
      <x:c r="F283" s="30" t="n">
        <x:v>18600</x:v>
      </x:c>
      <x:c r="G283" s="30" t="n">
        <x:v>366</x:v>
      </x:c>
      <x:c r="H283" s="30" t="n">
        <x:v>800</x:v>
      </x:c>
      <x:c r="I283" s="30" t="n">
        <x:v>650</x:v>
      </x:c>
      <x:c r="J283" s="30" t="n">
        <x:v>4.21</x:v>
      </x:c>
      <x:c r="K283" s="30" t="n">
        <x:v>138</x:v>
      </x:c>
      <x:c r="L283" s="30" t="n">
        <x:v>21000</x:v>
      </x:c>
      <x:c r="M283" s="30" t="n">
        <x:v>100</x:v>
      </x:c>
      <x:c r="N283" s="30" t="n">
        <x:v>133</x:v>
      </x:c>
      <x:c r="O283" s="30" t="str">
        <x:v>4848</x:v>
      </x:c>
      <x:c r="P283" s="25"/>
      <x:c r="Q283" s="25"/>
      <x:c r="R283" s="25"/>
      <x:c r="S283" s="25"/>
      <x:c r="T283" s="25"/>
      <x:c r="U283" s="25"/>
      <x:c r="V283" s="25"/>
    </x:row>
    <x:row r="284">
      <x:c r="A284" s="29" t="str">
        <x:v>52080800</x:v>
      </x:c>
      <x:c r="B284" s="30" t="str">
        <x:v>A-MOD_3 [0] IANITOR</x:v>
      </x:c>
      <x:c r="C284" s="30" t="str">
        <x:v>Available</x:v>
      </x:c>
      <x:c r="D284" s="30" t="str">
        <x:v>ARMS - A-MOD_3[0] IANITOR</x:v>
      </x:c>
      <x:c r="E284" s="30" t="n">
        <x:v>950</x:v>
      </x:c>
      <x:c r="F284" s="30" t="n">
        <x:v>23150</x:v>
      </x:c>
      <x:c r="G284" s="30" t="n">
        <x:v>810</x:v>
      </x:c>
      <x:c r="H284" s="30" t="n">
        <x:v>800</x:v>
      </x:c>
      <x:c r="I284" s="30" t="n">
        <x:v>650</x:v>
      </x:c>
      <x:c r="J284" s="30" t="n">
        <x:v>-2.3</x:v>
      </x:c>
      <x:c r="K284" s="30" t="n">
        <x:v>245</x:v>
      </x:c>
      <x:c r="L284" s="30" t="n">
        <x:v>20900</x:v>
      </x:c>
      <x:c r="M284" s="30" t="n">
        <x:v>100</x:v>
      </x:c>
      <x:c r="N284" s="30" t="n">
        <x:v>0</x:v>
      </x:c>
      <x:c r="O284" s="30" t="str">
        <x:v>5055</x:v>
      </x:c>
      <x:c r="P284" s="25"/>
      <x:c r="Q284" s="25"/>
      <x:c r="R284" s="25"/>
      <x:c r="S284" s="25"/>
      <x:c r="T284" s="25"/>
      <x:c r="U284" s="25"/>
      <x:c r="V284" s="25"/>
    </x:row>
    <x:row r="285">
      <x:c r="A285" s="29" t="str">
        <x:v>52080900</x:v>
      </x:c>
      <x:c r="B285" s="30" t="str">
        <x:v>A-MOD_3 [1] IANITOR</x:v>
      </x:c>
      <x:c r="C285" s="30" t="str">
        <x:v>Available</x:v>
      </x:c>
      <x:c r="D285" s="30" t="str">
        <x:v>ARMS - A-MOD_3[1] IANITOR</x:v>
      </x:c>
      <x:c r="E285" s="30" t="n">
        <x:v>2175</x:v>
      </x:c>
      <x:c r="F285" s="30" t="n">
        <x:v>19400</x:v>
      </x:c>
      <x:c r="G285" s="30" t="n">
        <x:v>460</x:v>
      </x:c>
      <x:c r="H285" s="30" t="n">
        <x:v>800</x:v>
      </x:c>
      <x:c r="I285" s="30" t="n">
        <x:v>650</x:v>
      </x:c>
      <x:c r="J285" s="30" t="n">
        <x:v>-1</x:v>
      </x:c>
      <x:c r="K285" s="30" t="n">
        <x:v>210</x:v>
      </x:c>
      <x:c r="L285" s="30" t="n">
        <x:v>18550</x:v>
      </x:c>
      <x:c r="M285" s="30" t="n">
        <x:v>100</x:v>
      </x:c>
      <x:c r="N285" s="30" t="n">
        <x:v>0</x:v>
      </x:c>
      <x:c r="O285" s="30" t="str">
        <x:v>5005</x:v>
      </x:c>
      <x:c r="P285" s="25"/>
      <x:c r="Q285" s="25"/>
      <x:c r="R285" s="25"/>
      <x:c r="S285" s="25"/>
      <x:c r="T285" s="25"/>
      <x:c r="U285" s="25"/>
      <x:c r="V285" s="25"/>
    </x:row>
    <x:row r="286">
      <x:c r="A286" s="29" t="str">
        <x:v>52081000</x:v>
      </x:c>
      <x:c r="B286" s="30" t="str">
        <x:v>EL-DA-04 AVISPA</x:v>
      </x:c>
      <x:c r="C286" s="30" t="str">
        <x:v>Available</x:v>
      </x:c>
      <x:c r="D286" s="30" t="str">
        <x:v>ARMS - Avispa</x:v>
      </x:c>
      <x:c r="E286" s="30" t="n">
        <x:v>1785</x:v>
      </x:c>
      <x:c r="F286" s="30" t="n">
        <x:v>10590</x:v>
      </x:c>
      <x:c r="G286" s="30" t="n">
        <x:v>307</x:v>
      </x:c>
      <x:c r="H286" s="30" t="n">
        <x:v>800</x:v>
      </x:c>
      <x:c r="I286" s="30" t="n">
        <x:v>650</x:v>
      </x:c>
      <x:c r="J286" s="30" t="n">
        <x:v>-1.35</x:v>
      </x:c>
      <x:c r="K286" s="30" t="n">
        <x:v>148</x:v>
      </x:c>
      <x:c r="L286" s="30" t="n">
        <x:v>15220</x:v>
      </x:c>
      <x:c r="M286" s="30" t="n">
        <x:v>100</x:v>
      </x:c>
      <x:c r="N286" s="30" t="n">
        <x:v>105</x:v>
      </x:c>
      <x:c r="O286" s="30" t="str">
        <x:v>7110</x:v>
      </x:c>
      <x:c r="P286" s="25"/>
      <x:c r="Q286" s="25"/>
      <x:c r="R286" s="25"/>
      <x:c r="S286" s="25"/>
      <x:c r="T286" s="25"/>
      <x:c r="U286" s="25"/>
      <x:c r="V286" s="25"/>
    </x:row>
    <x:row r="287">
      <x:c r="A287" s="29" t="str">
        <x:v>52081100</x:v>
      </x:c>
      <x:c r="B287" s="30" t="str">
        <x:v>AX-24 ISAIAH</x:v>
      </x:c>
      <x:c r="C287" s="30" t="str">
        <x:v>Available</x:v>
      </x:c>
      <x:c r="D287" s="30" t="str">
        <x:v>ARMS - ISAIAH</x:v>
      </x:c>
      <x:c r="E287" s="30" t="n">
        <x:v>2410</x:v>
      </x:c>
      <x:c r="F287" s="30" t="n">
        <x:v>15090</x:v>
      </x:c>
      <x:c r="G287" s="30" t="n">
        <x:v>296</x:v>
      </x:c>
      <x:c r="H287" s="30" t="n">
        <x:v>800</x:v>
      </x:c>
      <x:c r="I287" s="30" t="n">
        <x:v>650</x:v>
      </x:c>
      <x:c r="J287" s="30" t="n">
        <x:v>2</x:v>
      </x:c>
      <x:c r="K287" s="30" t="n">
        <x:v>126</x:v>
      </x:c>
      <x:c r="L287" s="30" t="n">
        <x:v>17520</x:v>
      </x:c>
      <x:c r="M287" s="30" t="n">
        <x:v>100</x:v>
      </x:c>
      <x:c r="N287" s="30" t="n">
        <x:v>126</x:v>
      </x:c>
      <x:c r="O287" s="30" t="str">
        <x:v>4737</x:v>
      </x:c>
      <x:c r="P287" s="25"/>
      <x:c r="Q287" s="25"/>
      <x:c r="R287" s="25"/>
      <x:c r="S287" s="25"/>
      <x:c r="T287" s="25"/>
      <x:c r="U287" s="25"/>
      <x:c r="V287" s="25"/>
    </x:row>
    <x:row r="288">
      <x:c r="A288" s="29" t="str">
        <x:v>52081200</x:v>
      </x:c>
      <x:c r="B288" s="30" t="str">
        <x:v>AX-26 BARNABAS</x:v>
      </x:c>
      <x:c r="C288" s="30" t="str">
        <x:v>Available</x:v>
      </x:c>
      <x:c r="D288" s="30" t="str">
        <x:v>ARMS - BARNABAS</x:v>
      </x:c>
      <x:c r="E288" s="30" t="n">
        <x:v>1720</x:v>
      </x:c>
      <x:c r="F288" s="30" t="n">
        <x:v>10560</x:v>
      </x:c>
      <x:c r="G288" s="30" t="n">
        <x:v>291</x:v>
      </x:c>
      <x:c r="H288" s="30" t="n">
        <x:v>800</x:v>
      </x:c>
      <x:c r="I288" s="30" t="n">
        <x:v>650</x:v>
      </x:c>
      <x:c r="J288" s="30" t="n">
        <x:v>-1.1</x:v>
      </x:c>
      <x:c r="K288" s="30" t="n">
        <x:v>130</x:v>
      </x:c>
      <x:c r="L288" s="30" t="n">
        <x:v>12020</x:v>
      </x:c>
      <x:c r="M288" s="30" t="n">
        <x:v>100</x:v>
      </x:c>
      <x:c r="N288" s="30" t="n">
        <x:v>139</x:v>
      </x:c>
      <x:c r="O288" s="30" t="str">
        <x:v>7770</x:v>
      </x:c>
      <x:c r="P288" s="25"/>
      <x:c r="Q288" s="25"/>
      <x:c r="R288" s="25"/>
      <x:c r="S288" s="25"/>
      <x:c r="T288" s="25"/>
      <x:c r="U288" s="25"/>
      <x:c r="V288" s="25"/>
    </x:row>
    <x:row r="289">
      <x:c r="A289" s="29" t="str">
        <x:v>52081300</x:v>
      </x:c>
      <x:c r="B289" s="30" t="str">
        <x:v>MAD-FL-34-G-AM DREAMER</x:v>
      </x:c>
      <x:c r="C289" s="30" t="str">
        <x:v>Available</x:v>
      </x:c>
      <x:c r="D289" s="30" t="str">
        <x:v>ARMS - NIGHTMARE FIXED</x:v>
      </x:c>
      <x:c r="E289" s="30" t="n">
        <x:v>2410</x:v>
      </x:c>
      <x:c r="F289" s="30" t="n">
        <x:v>14100</x:v>
      </x:c>
      <x:c r="G289" s="30" t="n">
        <x:v>320</x:v>
      </x:c>
      <x:c r="H289" s="30" t="n">
        <x:v>800</x:v>
      </x:c>
      <x:c r="I289" s="30" t="n">
        <x:v>650</x:v>
      </x:c>
      <x:c r="J289" s="30" t="n">
        <x:v>0.9</x:v>
      </x:c>
      <x:c r="K289" s="30" t="n">
        <x:v>120</x:v>
      </x:c>
      <x:c r="L289" s="30" t="n">
        <x:v>15600</x:v>
      </x:c>
      <x:c r="M289" s="30" t="n">
        <x:v>100</x:v>
      </x:c>
      <x:c r="N289" s="30" t="n">
        <x:v>140</x:v>
      </x:c>
      <x:c r="O289" s="30" t="str">
        <x:v>1035</x:v>
      </x:c>
      <x:c r="P289" s="25"/>
      <x:c r="Q289" s="25"/>
      <x:c r="R289" s="25"/>
      <x:c r="S289" s="25"/>
      <x:c r="T289" s="25"/>
      <x:c r="U289" s="25"/>
      <x:c r="V289" s="25"/>
    </x:row>
    <x:row r="290">
      <x:c r="A290" s="29" t="str">
        <x:v>52081400</x:v>
      </x:c>
      <x:c r="B290" s="30" t="str">
        <x:v>A-MOD_5-8 DOMINUS</x:v>
      </x:c>
      <x:c r="C290" s="30" t="str">
        <x:v>Available</x:v>
      </x:c>
      <x:c r="D290" s="30" t="str">
        <x:v>ARMS - DOMINUS</x:v>
      </x:c>
      <x:c r="E290" s="30" t="n">
        <x:v>2150</x:v>
      </x:c>
      <x:c r="F290" s="30" t="n">
        <x:v>19610</x:v>
      </x:c>
      <x:c r="G290" s="30" t="n">
        <x:v>391</x:v>
      </x:c>
      <x:c r="H290" s="30" t="n">
        <x:v>800</x:v>
      </x:c>
      <x:c r="I290" s="30" t="n">
        <x:v>650</x:v>
      </x:c>
      <x:c r="J290" s="30" t="n">
        <x:v>7</x:v>
      </x:c>
      <x:c r="K290" s="30" t="n">
        <x:v>208</x:v>
      </x:c>
      <x:c r="L290" s="30" t="n">
        <x:v>23110</x:v>
      </x:c>
      <x:c r="M290" s="30" t="n">
        <x:v>100</x:v>
      </x:c>
      <x:c r="N290" s="30" t="n">
        <x:v>81</x:v>
      </x:c>
      <x:c r="O290" s="30" t="str">
        <x:v>2244</x:v>
      </x:c>
      <x:c r="P290" s="25"/>
      <x:c r="Q290" s="25"/>
      <x:c r="R290" s="25"/>
      <x:c r="S290" s="25"/>
      <x:c r="T290" s="25"/>
      <x:c r="U290" s="25"/>
      <x:c r="V290" s="25"/>
    </x:row>
    <x:row r="291">
      <x:c r="A291" s="29" t="str">
        <x:v>52082700</x:v>
      </x:c>
      <x:c r="B291" s="30" t="str">
        <x:v>ABENDGANS/46T</x:v>
      </x:c>
      <x:c r="C291" s="30" t="str">
        <x:v>Available</x:v>
      </x:c>
      <x:c r="D291" s="30" t="str">
        <x:v>ARMS - FRAGILE</x:v>
      </x:c>
      <x:c r="E291" s="30" t="n">
        <x:v>1350</x:v>
      </x:c>
      <x:c r="F291" s="30" t="n">
        <x:v>9510</x:v>
      </x:c>
      <x:c r="G291" s="30" t="n">
        <x:v>210</x:v>
      </x:c>
      <x:c r="H291" s="30" t="n">
        <x:v>800</x:v>
      </x:c>
      <x:c r="I291" s="30" t="n">
        <x:v>650</x:v>
      </x:c>
      <x:c r="J291" s="30" t="n">
        <x:v>-1.78</x:v>
      </x:c>
      <x:c r="K291" s="30" t="n">
        <x:v>200</x:v>
      </x:c>
      <x:c r="L291" s="30" t="n">
        <x:v>9510</x:v>
      </x:c>
      <x:c r="M291" s="30" t="n">
        <x:v>100</x:v>
      </x:c>
      <x:c r="N291" s="30" t="n">
        <x:v>58</x:v>
      </x:c>
      <x:c r="O291" s="30" t="str">
        <x:v>8890</x:v>
      </x:c>
      <x:c r="P291" s="25"/>
      <x:c r="Q291" s="25"/>
      <x:c r="R291" s="25"/>
      <x:c r="S291" s="25"/>
      <x:c r="T291" s="25"/>
      <x:c r="U291" s="25"/>
      <x:c r="V291" s="25"/>
    </x:row>
    <x:row r="292">
      <x:c r="A292" s="29" t="str">
        <x:v>52181000</x:v>
      </x:c>
      <x:c r="B292" s="30" t="str">
        <x:v>A-MOD_11 IMPERATOR</x:v>
      </x:c>
      <x:c r="C292" s="30" t="str">
        <x:v>Available</x:v>
      </x:c>
      <x:c r="D292" s="30" t="str">
        <x:v>ARMS - Imperator</x:v>
      </x:c>
      <x:c r="E292" s="30" t="n">
        <x:v>2890</x:v>
      </x:c>
      <x:c r="F292" s="30" t="n">
        <x:v>25760</x:v>
      </x:c>
      <x:c r="G292" s="30" t="n">
        <x:v>320</x:v>
      </x:c>
      <x:c r="H292" s="30" t="n">
        <x:v>800</x:v>
      </x:c>
      <x:c r="I292" s="30" t="n">
        <x:v>650</x:v>
      </x:c>
      <x:c r="J292" s="30" t="n">
        <x:v>5</x:v>
      </x:c>
      <x:c r="K292" s="30" t="n">
        <x:v>190</x:v>
      </x:c>
      <x:c r="L292" s="30" t="n">
        <x:v>19600</x:v>
      </x:c>
      <x:c r="M292" s="30" t="n">
        <x:v>100</x:v>
      </x:c>
      <x:c r="N292" s="30" t="n">
        <x:v>138</x:v>
      </x:c>
      <x:c r="O292" s="30" t="str">
        <x:v>4477</x:v>
      </x:c>
      <x:c r="P292" s="25"/>
      <x:c r="Q292" s="25"/>
      <x:c r="R292" s="25"/>
      <x:c r="S292" s="25"/>
      <x:c r="T292" s="25"/>
      <x:c r="U292" s="25"/>
      <x:c r="V292" s="25"/>
    </x:row>
    <x:row r="293">
      <x:c r="A293" s="29" t="str">
        <x:v>52181100</x:v>
      </x:c>
      <x:c r="B293" s="30" t="str">
        <x:v>AAP03/A: ENFORCER</x:v>
      </x:c>
      <x:c r="C293" s="30" t="str">
        <x:v>Available</x:v>
      </x:c>
      <x:c r="D293" s="30" t="str">
        <x:v>ARMS - ENFORCER</x:v>
      </x:c>
      <x:c r="E293" s="30" t="n">
        <x:v>2490</x:v>
      </x:c>
      <x:c r="F293" s="30" t="n">
        <x:v>13400</x:v>
      </x:c>
      <x:c r="G293" s="30" t="n">
        <x:v>279</x:v>
      </x:c>
      <x:c r="H293" s="30" t="n">
        <x:v>800</x:v>
      </x:c>
      <x:c r="I293" s="30" t="n">
        <x:v>650</x:v>
      </x:c>
      <x:c r="J293" s="30" t="n">
        <x:v>-1.4</x:v>
      </x:c>
      <x:c r="K293" s="30" t="n">
        <x:v>77</x:v>
      </x:c>
      <x:c r="L293" s="30" t="n">
        <x:v>11100</x:v>
      </x:c>
      <x:c r="M293" s="30" t="n">
        <x:v>100</x:v>
      </x:c>
      <x:c r="N293" s="30" t="n">
        <x:v>107</x:v>
      </x:c>
      <x:c r="O293" s="30" t="str">
        <x:v>3311</x:v>
      </x:c>
      <x:c r="P293" s="25"/>
      <x:c r="Q293" s="25"/>
      <x:c r="R293" s="25"/>
      <x:c r="S293" s="25"/>
      <x:c r="T293" s="25"/>
      <x:c r="U293" s="25"/>
      <x:c r="V293" s="25"/>
    </x:row>
    <x:row r="294">
      <x:c r="A294" s="29" t="str">
        <x:v>52181200</x:v>
      </x:c>
      <x:c r="B294" s="30" t="str">
        <x:v>AX-29 NOAH</x:v>
      </x:c>
      <x:c r="C294" s="30" t="str">
        <x:v>Available</x:v>
      </x:c>
      <x:c r="D294" s="30" t="str">
        <x:v>ARMS - NOAH</x:v>
      </x:c>
      <x:c r="E294" s="30" t="n">
        <x:v>2600</x:v>
      </x:c>
      <x:c r="F294" s="30" t="n">
        <x:v>24900</x:v>
      </x:c>
      <x:c r="G294" s="30" t="n">
        <x:v>222</x:v>
      </x:c>
      <x:c r="H294" s="30" t="n">
        <x:v>800</x:v>
      </x:c>
      <x:c r="I294" s="30" t="n">
        <x:v>650</x:v>
      </x:c>
      <x:c r="J294" s="30" t="n">
        <x:v>4.7</x:v>
      </x:c>
      <x:c r="K294" s="30" t="n">
        <x:v>220</x:v>
      </x:c>
      <x:c r="L294" s="30" t="n">
        <x:v>20960</x:v>
      </x:c>
      <x:c r="M294" s="30" t="n">
        <x:v>100</x:v>
      </x:c>
      <x:c r="N294" s="30" t="n">
        <x:v>86</x:v>
      </x:c>
      <x:c r="O294" s="30" t="str">
        <x:v>2005</x:v>
      </x:c>
      <x:c r="P294" s="25"/>
      <x:c r="Q294" s="25"/>
      <x:c r="R294" s="25"/>
      <x:c r="S294" s="25"/>
      <x:c r="T294" s="25"/>
      <x:c r="U294" s="25"/>
      <x:c r="V294" s="25"/>
    </x:row>
    <x:row r="295">
      <x:c r="A295" s="29" t="str">
        <x:v>52181300</x:v>
      </x:c>
      <x:c r="B295" s="30" t="str">
        <x:v>A-MOD_18 PRAETOR</x:v>
      </x:c>
      <x:c r="C295" s="30" t="str">
        <x:v>Available</x:v>
      </x:c>
      <x:c r="D295" s="30" t="str">
        <x:v>ARMS - PRAETOR</x:v>
      </x:c>
      <x:c r="E295" s="30" t="n">
        <x:v>1920</x:v>
      </x:c>
      <x:c r="F295" s="30" t="n">
        <x:v>12800</x:v>
      </x:c>
      <x:c r="G295" s="30" t="n">
        <x:v>350</x:v>
      </x:c>
      <x:c r="H295" s="30" t="n">
        <x:v>800</x:v>
      </x:c>
      <x:c r="I295" s="30" t="n">
        <x:v>650</x:v>
      </x:c>
      <x:c r="J295" s="30" t="n">
        <x:v>-0.5</x:v>
      </x:c>
      <x:c r="K295" s="30" t="n">
        <x:v>110</x:v>
      </x:c>
      <x:c r="L295" s="30" t="n">
        <x:v>13100</x:v>
      </x:c>
      <x:c r="M295" s="30" t="n">
        <x:v>100</x:v>
      </x:c>
      <x:c r="N295" s="30" t="n">
        <x:v>154</x:v>
      </x:c>
      <x:c r="O295" s="30" t="str">
        <x:v>8420</x:v>
      </x:c>
      <x:c r="P295" s="25"/>
      <x:c r="Q295" s="25"/>
      <x:c r="R295" s="25"/>
      <x:c r="S295" s="25"/>
      <x:c r="T295" s="25"/>
      <x:c r="U295" s="25"/>
      <x:c r="V295" s="25"/>
    </x:row>
    <x:row r="296">
      <x:c r="A296" s="29" t="str">
        <x:v>52888800</x:v>
      </x:c>
      <x:c r="B296" s="30" t="str">
        <x:v>FV3M79 QUETZALCOATL</x:v>
      </x:c>
      <x:c r="C296" s="30" t="str">
        <x:v>Available</x:v>
      </x:c>
      <x:c r="D296" s="30" t="str">
        <x:v>ARMS - Poorly Disguised Scalie</x:v>
      </x:c>
      <x:c r="E296" s="30" t="n">
        <x:v>2400</x:v>
      </x:c>
      <x:c r="F296" s="30" t="n">
        <x:v>16180</x:v>
      </x:c>
      <x:c r="G296" s="30" t="n">
        <x:v>347</x:v>
      </x:c>
      <x:c r="H296" s="30" t="n">
        <x:v>800</x:v>
      </x:c>
      <x:c r="I296" s="30" t="n">
        <x:v>650</x:v>
      </x:c>
      <x:c r="J296" s="30" t="n">
        <x:v>5</x:v>
      </x:c>
      <x:c r="K296" s="30" t="n">
        <x:v>104</x:v>
      </x:c>
      <x:c r="L296" s="30" t="n">
        <x:v>12570</x:v>
      </x:c>
      <x:c r="M296" s="30" t="n">
        <x:v>100</x:v>
      </x:c>
      <x:c r="N296" s="30" t="n">
        <x:v>141</x:v>
      </x:c>
      <x:c r="O296" s="30" t="str">
        <x:v>4444</x:v>
      </x:c>
      <x:c r="P296" s="25"/>
      <x:c r="Q296" s="25"/>
      <x:c r="R296" s="25"/>
      <x:c r="S296" s="25"/>
      <x:c r="T296" s="25"/>
      <x:c r="U296" s="25"/>
      <x:c r="V296" s="25"/>
    </x:row>
    <x:row r="297">
      <x:c r="A297" s="31" t="str">
        <x:v>99900200</x:v>
      </x:c>
      <x:c r="B297" s="32" t="str">
        <x:v>AC-2000 MANGLED ARM</x:v>
      </x:c>
      <x:c r="C297" s="32" t="str">
        <x:v>Available</x:v>
      </x:c>
      <x:c r="D297" s="32" t="str">
        <x:v>ARMS [NPC] - AC-2000 TOOL ARM (Damaged)</x:v>
      </x:c>
      <x:c r="E297" s="32" t="n">
        <x:v>1990</x:v>
      </x:c>
      <x:c r="F297" s="32" t="n">
        <x:v>12040</x:v>
      </x:c>
      <x:c r="G297" s="32" t="n">
        <x:v>198</x:v>
      </x:c>
      <x:c r="H297" s="32" t="n">
        <x:v>800</x:v>
      </x:c>
      <x:c r="I297" s="32" t="n">
        <x:v>650</x:v>
      </x:c>
      <x:c r="J297" s="32" t="n">
        <x:v>-1.8</x:v>
      </x:c>
      <x:c r="K297" s="32" t="n">
        <x:v>85</x:v>
      </x:c>
      <x:c r="L297" s="32" t="n">
        <x:v>8060</x:v>
      </x:c>
      <x:c r="M297" s="32" t="n">
        <x:v>100</x:v>
      </x:c>
      <x:c r="N297" s="32" t="n">
        <x:v>98</x:v>
      </x:c>
      <x:c r="O297" s="32" t="str">
        <x:v>9400</x:v>
      </x:c>
      <x:c r="P297" s="25"/>
      <x:c r="Q297" s="25"/>
      <x:c r="R297" s="25"/>
      <x:c r="S297" s="25"/>
      <x:c r="T297" s="25"/>
      <x:c r="U297" s="25"/>
      <x:c r="V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  <x:c r="I298" s="25"/>
      <x:c r="J298" s="25"/>
      <x:c r="K298" s="25"/>
      <x:c r="L298" s="25"/>
      <x:c r="M298" s="25"/>
      <x:c r="N298" s="25"/>
      <x:c r="O298" s="25"/>
      <x:c r="P298" s="25"/>
      <x:c r="Q298" s="25"/>
      <x:c r="R298" s="25"/>
      <x:c r="S298" s="25"/>
      <x:c r="T298" s="25"/>
      <x:c r="U298" s="25"/>
      <x:c r="V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  <x:c r="I299" s="25"/>
      <x:c r="J299" s="25"/>
      <x:c r="K299" s="25"/>
      <x:c r="L299" s="25"/>
      <x:c r="M299" s="25"/>
      <x:c r="N299" s="25"/>
      <x:c r="O299" s="25"/>
      <x:c r="P299" s="25"/>
      <x:c r="Q299" s="25"/>
      <x:c r="R299" s="25"/>
      <x:c r="S299" s="25"/>
      <x:c r="T299" s="25"/>
      <x:c r="U299" s="25"/>
      <x:c r="V299" s="25"/>
    </x:row>
    <x:row r="300" ht="25" customHeight="1">
      <x:c r="A300" s="41" t="str">
        <x:v>Armor — Legs  •  31 parts</x:v>
      </x:c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25"/>
      <x:c r="Q300" s="25"/>
      <x:c r="R300" s="25"/>
      <x:c r="S300" s="25"/>
      <x:c r="T300" s="25"/>
      <x:c r="U300" s="25"/>
      <x:c r="V300" s="25"/>
    </x:row>
    <x:row r="301" ht="32" customHeight="1">
      <x:c r="A301" s="42" t="str">
        <x:v>ID</x:v>
      </x:c>
      <x:c r="B301" s="42" t="str">
        <x:v>Part Name</x:v>
      </x:c>
      <x:c r="C301" s="42" t="str">
        <x:v>Data Status</x:v>
      </x:c>
      <x:c r="D301" s="42" t="str">
        <x:v>Internal Label</x:v>
      </x:c>
      <x:c r="E301" s="42" t="str">
        <x:v>AP</x:v>
      </x:c>
      <x:c r="F301" s="42" t="str">
        <x:v>Weight</x:v>
      </x:c>
      <x:c r="G301" s="42" t="str">
        <x:v>EN Load</x:v>
      </x:c>
      <x:c r="H301" s="42" t="str">
        <x:v>Kinetic Defense</x:v>
      </x:c>
      <x:c r="I301" s="42" t="str">
        <x:v>Energy Defense</x:v>
      </x:c>
      <x:c r="J301" s="42" t="str">
        <x:v>Explosive Defense</x:v>
      </x:c>
      <x:c r="K301" s="42" t="str">
        <x:v>Attitude Stability</x:v>
      </x:c>
      <x:c r="L301" s="42" t="str">
        <x:v>Load Limit</x:v>
      </x:c>
      <x:c r="M301" s="42" t="str">
        <x:v>Jump Height</x:v>
      </x:c>
      <x:c r="N301" s="42" t="str">
        <x:v>Jump Distance Speed</x:v>
      </x:c>
      <x:c r="O301" s="42" t="str">
        <x:v>Model ID</x:v>
      </x:c>
      <x:c r="P301" s="25"/>
      <x:c r="Q301" s="25"/>
      <x:c r="R301" s="25"/>
      <x:c r="S301" s="25"/>
      <x:c r="T301" s="25"/>
      <x:c r="U301" s="25"/>
      <x:c r="V301" s="25"/>
    </x:row>
    <x:row r="302">
      <x:c r="A302" s="27" t="str">
        <x:v>53000800</x:v>
      </x:c>
      <x:c r="B302" s="28" t="str">
        <x:v>ACL-G4/P03SAR</x:v>
      </x:c>
      <x:c r="C302" s="28" t="str">
        <x:v>Available</x:v>
      </x:c>
      <x:c r="D302" s="28" t="str">
        <x:v>LEGS - Sarah's Frame!!</x:v>
      </x:c>
      <x:c r="E302" s="28" t="n">
        <x:v>4400</x:v>
      </x:c>
      <x:c r="F302" s="28" t="n">
        <x:v>17880</x:v>
      </x:c>
      <x:c r="G302" s="28" t="n">
        <x:v>555</x:v>
      </x:c>
      <x:c r="H302" s="28" t="n">
        <x:v>1550</x:v>
      </x:c>
      <x:c r="I302" s="28" t="n">
        <x:v>1400</x:v>
      </x:c>
      <x:c r="J302" s="28" t="n">
        <x:v>7</x:v>
      </x:c>
      <x:c r="K302" s="28" t="n">
        <x:v>870</x:v>
      </x:c>
      <x:c r="L302" s="28" t="n">
        <x:v>59940</x:v>
      </x:c>
      <x:c r="M302" s="28" t="n">
        <x:v>37</x:v>
      </x:c>
      <x:c r="N302" s="28" t="n">
        <x:v>400</x:v>
      </x:c>
      <x:c r="O302" s="28" t="str">
        <x:v>6448</x:v>
      </x:c>
      <x:c r="P302" s="25"/>
      <x:c r="Q302" s="25"/>
      <x:c r="R302" s="25"/>
      <x:c r="S302" s="25"/>
      <x:c r="T302" s="25"/>
      <x:c r="U302" s="25"/>
      <x:c r="V302" s="25"/>
    </x:row>
    <x:row r="303">
      <x:c r="A303" s="29" t="str">
        <x:v>53002500</x:v>
      </x:c>
      <x:c r="B303" s="30" t="str">
        <x:v>AAP21/L: WARDEN</x:v>
      </x:c>
      <x:c r="C303" s="30" t="str">
        <x:v>Available</x:v>
      </x:c>
      <x:c r="D303" s="30" t="str">
        <x:v>LEGS - PCA Frame</x:v>
      </x:c>
      <x:c r="E303" s="30" t="n">
        <x:v>4140</x:v>
      </x:c>
      <x:c r="F303" s="30" t="n">
        <x:v>16840</x:v>
      </x:c>
      <x:c r="G303" s="30" t="n">
        <x:v>309</x:v>
      </x:c>
      <x:c r="H303" s="30" t="n">
        <x:v>1550</x:v>
      </x:c>
      <x:c r="I303" s="30" t="n">
        <x:v>1400</x:v>
      </x:c>
      <x:c r="J303" s="30" t="n">
        <x:v>5.78</x:v>
      </x:c>
      <x:c r="K303" s="30" t="n">
        <x:v>888</x:v>
      </x:c>
      <x:c r="L303" s="30" t="n">
        <x:v>59080</x:v>
      </x:c>
      <x:c r="M303" s="30" t="n">
        <x:v>40</x:v>
      </x:c>
      <x:c r="N303" s="30" t="n">
        <x:v>400</x:v>
      </x:c>
      <x:c r="O303" s="30" t="str">
        <x:v>699</x:v>
      </x:c>
      <x:c r="P303" s="25"/>
      <x:c r="Q303" s="25"/>
      <x:c r="R303" s="25"/>
      <x:c r="S303" s="25"/>
      <x:c r="T303" s="25"/>
      <x:c r="U303" s="25"/>
      <x:c r="V303" s="25"/>
    </x:row>
    <x:row r="304">
      <x:c r="A304" s="29" t="str">
        <x:v>53020300</x:v>
      </x:c>
      <x:c r="B304" s="30" t="str">
        <x:v>CRAZ-OUT-11 SERENITY</x:v>
      </x:c>
      <x:c r="C304" s="30" t="str">
        <x:v>Available</x:v>
      </x:c>
      <x:c r="D304" s="30" t="str">
        <x:v>LEGS - SERENITY</x:v>
      </x:c>
      <x:c r="E304" s="30" t="n">
        <x:v>4010</x:v>
      </x:c>
      <x:c r="F304" s="30" t="n">
        <x:v>18830</x:v>
      </x:c>
      <x:c r="G304" s="30" t="n">
        <x:v>302</x:v>
      </x:c>
      <x:c r="H304" s="30" t="n">
        <x:v>1550</x:v>
      </x:c>
      <x:c r="I304" s="30" t="n">
        <x:v>1400</x:v>
      </x:c>
      <x:c r="J304" s="30" t="n">
        <x:v>9.45</x:v>
      </x:c>
      <x:c r="K304" s="30" t="n">
        <x:v>788</x:v>
      </x:c>
      <x:c r="L304" s="30" t="n">
        <x:v>68130</x:v>
      </x:c>
      <x:c r="M304" s="30" t="n">
        <x:v>44</x:v>
      </x:c>
      <x:c r="N304" s="30" t="n">
        <x:v>400</x:v>
      </x:c>
      <x:c r="O304" s="30" t="str">
        <x:v>8069</x:v>
      </x:c>
      <x:c r="P304" s="25"/>
      <x:c r="Q304" s="25"/>
      <x:c r="R304" s="25"/>
      <x:c r="S304" s="25"/>
      <x:c r="T304" s="25"/>
      <x:c r="U304" s="25"/>
      <x:c r="V304" s="25"/>
    </x:row>
    <x:row r="305">
      <x:c r="A305" s="29" t="str">
        <x:v>53030200</x:v>
      </x:c>
      <x:c r="B305" s="30" t="str">
        <x:v>AAP07/L: BALTEUS</x:v>
      </x:c>
      <x:c r="C305" s="30" t="str">
        <x:v>Available</x:v>
      </x:c>
      <x:c r="D305" s="30" t="str">
        <x:v>LEGS - AAP07 BALTEUS</x:v>
      </x:c>
      <x:c r="E305" s="30" t="n">
        <x:v>4280</x:v>
      </x:c>
      <x:c r="F305" s="30" t="n">
        <x:v>17930</x:v>
      </x:c>
      <x:c r="G305" s="30" t="n">
        <x:v>630</x:v>
      </x:c>
      <x:c r="H305" s="30" t="n">
        <x:v>1550</x:v>
      </x:c>
      <x:c r="I305" s="30" t="n">
        <x:v>1400</x:v>
      </x:c>
      <x:c r="J305" s="30" t="n">
        <x:v>5</x:v>
      </x:c>
      <x:c r="K305" s="30" t="n">
        <x:v>891</x:v>
      </x:c>
      <x:c r="L305" s="30" t="n">
        <x:v>79100</x:v>
      </x:c>
      <x:c r="M305" s="30" t="n">
        <x:v>12</x:v>
      </x:c>
      <x:c r="N305" s="30" t="n">
        <x:v>400</x:v>
      </x:c>
      <x:c r="O305" s="30" t="str">
        <x:v>4020</x:v>
      </x:c>
      <x:c r="P305" s="25"/>
      <x:c r="Q305" s="25"/>
      <x:c r="R305" s="25"/>
      <x:c r="S305" s="25"/>
      <x:c r="T305" s="25"/>
      <x:c r="U305" s="25"/>
      <x:c r="V305" s="25"/>
    </x:row>
    <x:row r="306">
      <x:c r="A306" s="29" t="str">
        <x:v>53054000</x:v>
      </x:c>
      <x:c r="B306" s="30" t="str">
        <x:v>L-MOD_4 CAESAR</x:v>
      </x:c>
      <x:c r="C306" s="30" t="str">
        <x:v>Available</x:v>
      </x:c>
      <x:c r="D306" s="30" t="str">
        <x:v>LEGS - CAESAR</x:v>
      </x:c>
      <x:c r="E306" s="30" t="n">
        <x:v>4030</x:v>
      </x:c>
      <x:c r="F306" s="30" t="n">
        <x:v>20970</x:v>
      </x:c>
      <x:c r="G306" s="30" t="n">
        <x:v>438</x:v>
      </x:c>
      <x:c r="H306" s="30" t="n">
        <x:v>1550</x:v>
      </x:c>
      <x:c r="I306" s="30" t="n">
        <x:v>1400</x:v>
      </x:c>
      <x:c r="J306" s="30" t="n">
        <x:v>2.3</x:v>
      </x:c>
      <x:c r="K306" s="30" t="n">
        <x:v>978</x:v>
      </x:c>
      <x:c r="L306" s="30" t="n">
        <x:v>71200</x:v>
      </x:c>
      <x:c r="M306" s="30" t="n">
        <x:v>39</x:v>
      </x:c>
      <x:c r="N306" s="30" t="n">
        <x:v>400</x:v>
      </x:c>
      <x:c r="O306" s="30" t="str">
        <x:v>4205</x:v>
      </x:c>
      <x:c r="P306" s="25"/>
      <x:c r="Q306" s="25"/>
      <x:c r="R306" s="25"/>
      <x:c r="S306" s="25"/>
      <x:c r="T306" s="25"/>
      <x:c r="U306" s="25"/>
      <x:c r="V306" s="25"/>
    </x:row>
    <x:row r="307">
      <x:c r="A307" s="29" t="str">
        <x:v>53060900</x:v>
      </x:c>
      <x:c r="B307" s="30" t="str">
        <x:v>EL-TL-14 VALENTIA</x:v>
      </x:c>
      <x:c r="C307" s="30" t="str">
        <x:v>Available</x:v>
      </x:c>
      <x:c r="D307" s="30" t="str">
        <x:v>LEGS - EL-RC-16 GRANIZO</x:v>
      </x:c>
      <x:c r="E307" s="30" t="n">
        <x:v>4760</x:v>
      </x:c>
      <x:c r="F307" s="30" t="n">
        <x:v>16210</x:v>
      </x:c>
      <x:c r="G307" s="30" t="n">
        <x:v>430</x:v>
      </x:c>
      <x:c r="H307" s="30" t="n">
        <x:v>1550</x:v>
      </x:c>
      <x:c r="I307" s="30" t="n">
        <x:v>1400</x:v>
      </x:c>
      <x:c r="J307" s="30" t="n">
        <x:v>0.6</x:v>
      </x:c>
      <x:c r="K307" s="30" t="n">
        <x:v>910</x:v>
      </x:c>
      <x:c r="L307" s="30" t="n">
        <x:v>51990</x:v>
      </x:c>
      <x:c r="M307" s="30" t="n">
        <x:v>39</x:v>
      </x:c>
      <x:c r="N307" s="30" t="n">
        <x:v>400</x:v>
      </x:c>
      <x:c r="O307" s="30" t="str">
        <x:v>4021</x:v>
      </x:c>
      <x:c r="P307" s="25"/>
      <x:c r="Q307" s="25"/>
      <x:c r="R307" s="25"/>
      <x:c r="S307" s="25"/>
      <x:c r="T307" s="25"/>
      <x:c r="U307" s="25"/>
      <x:c r="V307" s="25"/>
    </x:row>
    <x:row r="308">
      <x:c r="A308" s="29" t="str">
        <x:v>53070500</x:v>
      </x:c>
      <x:c r="B308" s="30" t="str">
        <x:v>2R-1000 RAVAGER</x:v>
      </x:c>
      <x:c r="C308" s="30" t="str">
        <x:v>Available</x:v>
      </x:c>
      <x:c r="D308" s="30" t="str">
        <x:v>LEGS - 2R-1000 RAVAGER</x:v>
      </x:c>
      <x:c r="E308" s="30" t="n">
        <x:v>4800</x:v>
      </x:c>
      <x:c r="F308" s="30" t="n">
        <x:v>19130</x:v>
      </x:c>
      <x:c r="G308" s="30" t="n">
        <x:v>580</x:v>
      </x:c>
      <x:c r="H308" s="30" t="n">
        <x:v>1550</x:v>
      </x:c>
      <x:c r="I308" s="30" t="n">
        <x:v>1400</x:v>
      </x:c>
      <x:c r="J308" s="30" t="n">
        <x:v>6.1</x:v>
      </x:c>
      <x:c r="K308" s="30" t="n">
        <x:v>893</x:v>
      </x:c>
      <x:c r="L308" s="30" t="n">
        <x:v>67800</x:v>
      </x:c>
      <x:c r="M308" s="30" t="n">
        <x:v>28</x:v>
      </x:c>
      <x:c r="N308" s="30" t="n">
        <x:v>400</x:v>
      </x:c>
      <x:c r="O308" s="30" t="str">
        <x:v>621</x:v>
      </x:c>
      <x:c r="P308" s="25"/>
      <x:c r="Q308" s="25"/>
      <x:c r="R308" s="25"/>
      <x:c r="S308" s="25"/>
      <x:c r="T308" s="25"/>
      <x:c r="U308" s="25"/>
      <x:c r="V308" s="25"/>
    </x:row>
    <x:row r="309">
      <x:c r="A309" s="29" t="str">
        <x:v>53070700</x:v>
      </x:c>
      <x:c r="B309" s="30" t="str">
        <x:v>2R-1000/RC RAVAGER</x:v>
      </x:c>
      <x:c r="C309" s="30" t="str">
        <x:v>Available</x:v>
      </x:c>
      <x:c r="D309" s="30" t="str">
        <x:v>LEGS - 2R-1000/RC RAVAGER</x:v>
      </x:c>
      <x:c r="E309" s="30" t="n">
        <x:v>2250</x:v>
      </x:c>
      <x:c r="F309" s="30" t="n">
        <x:v>16210</x:v>
      </x:c>
      <x:c r="G309" s="30" t="n">
        <x:v>310</x:v>
      </x:c>
      <x:c r="H309" s="30" t="n">
        <x:v>1550</x:v>
      </x:c>
      <x:c r="I309" s="30" t="n">
        <x:v>1400</x:v>
      </x:c>
      <x:c r="J309" s="30" t="n">
        <x:v>1</x:v>
      </x:c>
      <x:c r="K309" s="30" t="n">
        <x:v>621</x:v>
      </x:c>
      <x:c r="L309" s="30" t="n">
        <x:v>60800</x:v>
      </x:c>
      <x:c r="M309" s="30" t="n">
        <x:v>13</x:v>
      </x:c>
      <x:c r="N309" s="30" t="n">
        <x:v>400</x:v>
      </x:c>
      <x:c r="O309" s="30" t="str">
        <x:v>6210</x:v>
      </x:c>
      <x:c r="P309" s="25"/>
      <x:c r="Q309" s="25"/>
      <x:c r="R309" s="25"/>
      <x:c r="S309" s="25"/>
      <x:c r="T309" s="25"/>
      <x:c r="U309" s="25"/>
      <x:c r="V309" s="25"/>
    </x:row>
    <x:row r="310">
      <x:c r="A310" s="29" t="str">
        <x:v>53074100</x:v>
      </x:c>
      <x:c r="B310" s="30" t="str">
        <x:v>MAD-E-N-66-DO HYSTERIC</x:v>
      </x:c>
      <x:c r="C310" s="30" t="str">
        <x:v>Available</x:v>
      </x:c>
      <x:c r="D310" s="30" t="str">
        <x:v>LEGS - Hysteric</x:v>
      </x:c>
      <x:c r="E310" s="30" t="n">
        <x:v>1900</x:v>
      </x:c>
      <x:c r="F310" s="30" t="n">
        <x:v>11320</x:v>
      </x:c>
      <x:c r="G310" s="30" t="n">
        <x:v>401</x:v>
      </x:c>
      <x:c r="H310" s="30" t="n">
        <x:v>1550</x:v>
      </x:c>
      <x:c r="I310" s="30" t="n">
        <x:v>1400</x:v>
      </x:c>
      <x:c r="J310" s="30" t="n">
        <x:v>-2</x:v>
      </x:c>
      <x:c r="K310" s="30" t="n">
        <x:v>630</x:v>
      </x:c>
      <x:c r="L310" s="30" t="n">
        <x:v>58600</x:v>
      </x:c>
      <x:c r="M310" s="30" t="n">
        <x:v>19</x:v>
      </x:c>
      <x:c r="N310" s="30" t="n">
        <x:v>300</x:v>
      </x:c>
      <x:c r="O310" s="30" t="str">
        <x:v>2012</x:v>
      </x:c>
      <x:c r="P310" s="25"/>
      <x:c r="Q310" s="25"/>
      <x:c r="R310" s="25"/>
      <x:c r="S310" s="25"/>
      <x:c r="T310" s="25"/>
      <x:c r="U310" s="25"/>
      <x:c r="V310" s="25"/>
    </x:row>
    <x:row r="311">
      <x:c r="A311" s="29" t="str">
        <x:v>53080300</x:v>
      </x:c>
      <x:c r="B311" s="30" t="str">
        <x:v>MAD-FL-34-G-LG NIGHTMARISH</x:v>
      </x:c>
      <x:c r="C311" s="30" t="str">
        <x:v>Available</x:v>
      </x:c>
      <x:c r="D311" s="30" t="str">
        <x:v>LEGS - NIGHTMARE</x:v>
      </x:c>
      <x:c r="E311" s="30" t="n">
        <x:v>4875</x:v>
      </x:c>
      <x:c r="F311" s="30" t="n">
        <x:v>23320</x:v>
      </x:c>
      <x:c r="G311" s="30" t="n">
        <x:v>530</x:v>
      </x:c>
      <x:c r="H311" s="30" t="n">
        <x:v>1550</x:v>
      </x:c>
      <x:c r="I311" s="30" t="n">
        <x:v>1400</x:v>
      </x:c>
      <x:c r="J311" s="30" t="n">
        <x:v>2.4</x:v>
      </x:c>
      <x:c r="K311" s="30" t="n">
        <x:v>944</x:v>
      </x:c>
      <x:c r="L311" s="30" t="n">
        <x:v>68500</x:v>
      </x:c>
      <x:c r="M311" s="30" t="n">
        <x:v>48</x:v>
      </x:c>
      <x:c r="N311" s="30" t="n">
        <x:v>400</x:v>
      </x:c>
      <x:c r="O311" s="30" t="str">
        <x:v>1034</x:v>
      </x:c>
      <x:c r="P311" s="25"/>
      <x:c r="Q311" s="25"/>
      <x:c r="R311" s="25"/>
      <x:c r="S311" s="25"/>
      <x:c r="T311" s="25"/>
      <x:c r="U311" s="25"/>
      <x:c r="V311" s="25"/>
    </x:row>
    <x:row r="312">
      <x:c r="A312" s="29" t="str">
        <x:v>53080400</x:v>
      </x:c>
      <x:c r="B312" s="30" t="str">
        <x:v>L-MOD_14 LANISTA</x:v>
      </x:c>
      <x:c r="C312" s="30" t="str">
        <x:v>Available</x:v>
      </x:c>
      <x:c r="D312" s="30" t="str">
        <x:v>LEGS - LANISTA</x:v>
      </x:c>
      <x:c r="E312" s="30" t="n">
        <x:v>5175</x:v>
      </x:c>
      <x:c r="F312" s="30" t="n">
        <x:v>29410</x:v>
      </x:c>
      <x:c r="G312" s="30" t="n">
        <x:v>580</x:v>
      </x:c>
      <x:c r="H312" s="30" t="n">
        <x:v>1550</x:v>
      </x:c>
      <x:c r="I312" s="30" t="n">
        <x:v>1400</x:v>
      </x:c>
      <x:c r="J312" s="30" t="n">
        <x:v>9</x:v>
      </x:c>
      <x:c r="K312" s="30" t="n">
        <x:v>1100</x:v>
      </x:c>
      <x:c r="L312" s="30" t="n">
        <x:v>80100</x:v>
      </x:c>
      <x:c r="M312" s="30" t="n">
        <x:v>13</x:v>
      </x:c>
      <x:c r="N312" s="30" t="n">
        <x:v>400</x:v>
      </x:c>
      <x:c r="O312" s="30" t="str">
        <x:v>4848</x:v>
      </x:c>
      <x:c r="P312" s="25"/>
      <x:c r="Q312" s="25"/>
      <x:c r="R312" s="25"/>
      <x:c r="S312" s="25"/>
      <x:c r="T312" s="25"/>
      <x:c r="U312" s="25"/>
      <x:c r="V312" s="25"/>
    </x:row>
    <x:row r="313">
      <x:c r="A313" s="29" t="str">
        <x:v>53080500</x:v>
      </x:c>
      <x:c r="B313" s="30" t="str">
        <x:v>LX-24 ISAIAH</x:v>
      </x:c>
      <x:c r="C313" s="30" t="str">
        <x:v>Available</x:v>
      </x:c>
      <x:c r="D313" s="30" t="str">
        <x:v>LEGS - ISAIAH</x:v>
      </x:c>
      <x:c r="E313" s="30" t="n">
        <x:v>4450</x:v>
      </x:c>
      <x:c r="F313" s="30" t="n">
        <x:v>18900</x:v>
      </x:c>
      <x:c r="G313" s="30" t="n">
        <x:v>340</x:v>
      </x:c>
      <x:c r="H313" s="30" t="n">
        <x:v>1550</x:v>
      </x:c>
      <x:c r="I313" s="30" t="n">
        <x:v>1400</x:v>
      </x:c>
      <x:c r="J313" s="30" t="n">
        <x:v>4.8</x:v>
      </x:c>
      <x:c r="K313" s="30" t="n">
        <x:v>890</x:v>
      </x:c>
      <x:c r="L313" s="30" t="n">
        <x:v>61820</x:v>
      </x:c>
      <x:c r="M313" s="30" t="n">
        <x:v>22</x:v>
      </x:c>
      <x:c r="N313" s="30" t="n">
        <x:v>400</x:v>
      </x:c>
      <x:c r="O313" s="30" t="str">
        <x:v>4737</x:v>
      </x:c>
      <x:c r="P313" s="25"/>
      <x:c r="Q313" s="25"/>
      <x:c r="R313" s="25"/>
      <x:c r="S313" s="25"/>
      <x:c r="T313" s="25"/>
      <x:c r="U313" s="25"/>
      <x:c r="V313" s="25"/>
    </x:row>
    <x:row r="314">
      <x:c r="A314" s="29" t="str">
        <x:v>53080600</x:v>
      </x:c>
      <x:c r="B314" s="30" t="str">
        <x:v>LX-26 BARNABAS</x:v>
      </x:c>
      <x:c r="C314" s="30" t="str">
        <x:v>Available</x:v>
      </x:c>
      <x:c r="D314" s="30" t="str">
        <x:v>LEGS - BARNABAS</x:v>
      </x:c>
      <x:c r="E314" s="30" t="n">
        <x:v>3550</x:v>
      </x:c>
      <x:c r="F314" s="30" t="n">
        <x:v>10900</x:v>
      </x:c>
      <x:c r="G314" s="30" t="n">
        <x:v>344</x:v>
      </x:c>
      <x:c r="H314" s="30" t="n">
        <x:v>1550</x:v>
      </x:c>
      <x:c r="I314" s="30" t="n">
        <x:v>1400</x:v>
      </x:c>
      <x:c r="J314" s="30" t="n">
        <x:v>1.1</x:v>
      </x:c>
      <x:c r="K314" s="30" t="n">
        <x:v>699</x:v>
      </x:c>
      <x:c r="L314" s="30" t="n">
        <x:v>51060</x:v>
      </x:c>
      <x:c r="M314" s="30" t="n">
        <x:v>33</x:v>
      </x:c>
      <x:c r="N314" s="30" t="n">
        <x:v>400</x:v>
      </x:c>
      <x:c r="O314" s="30" t="str">
        <x:v>7770</x:v>
      </x:c>
      <x:c r="P314" s="25"/>
      <x:c r="Q314" s="25"/>
      <x:c r="R314" s="25"/>
      <x:c r="S314" s="25"/>
      <x:c r="T314" s="25"/>
      <x:c r="U314" s="25"/>
      <x:c r="V314" s="25"/>
    </x:row>
    <x:row r="315">
      <x:c r="A315" s="29" t="str">
        <x:v>53080700</x:v>
      </x:c>
      <x:c r="B315" s="30" t="str">
        <x:v>AAP03/L: ENFORCER</x:v>
      </x:c>
      <x:c r="C315" s="30" t="str">
        <x:v>Available</x:v>
      </x:c>
      <x:c r="D315" s="30" t="str">
        <x:v>LEGS - ENFORCER</x:v>
      </x:c>
      <x:c r="E315" s="30" t="n">
        <x:v>4020</x:v>
      </x:c>
      <x:c r="F315" s="30" t="n">
        <x:v>20160</x:v>
      </x:c>
      <x:c r="G315" s="30" t="n">
        <x:v>443</x:v>
      </x:c>
      <x:c r="H315" s="30" t="n">
        <x:v>1550</x:v>
      </x:c>
      <x:c r="I315" s="30" t="n">
        <x:v>1400</x:v>
      </x:c>
      <x:c r="J315" s="30" t="n">
        <x:v>4.9</x:v>
      </x:c>
      <x:c r="K315" s="30" t="n">
        <x:v>811</x:v>
      </x:c>
      <x:c r="L315" s="30" t="n">
        <x:v>66880</x:v>
      </x:c>
      <x:c r="M315" s="30" t="n">
        <x:v>30</x:v>
      </x:c>
      <x:c r="N315" s="30" t="n">
        <x:v>400</x:v>
      </x:c>
      <x:c r="O315" s="30" t="str">
        <x:v>3311</x:v>
      </x:c>
      <x:c r="P315" s="25"/>
      <x:c r="Q315" s="25"/>
      <x:c r="R315" s="25"/>
      <x:c r="S315" s="25"/>
      <x:c r="T315" s="25"/>
      <x:c r="U315" s="25"/>
      <x:c r="V315" s="25"/>
    </x:row>
    <x:row r="316">
      <x:c r="A316" s="29" t="str">
        <x:v>53080800</x:v>
      </x:c>
      <x:c r="B316" s="30" t="str">
        <x:v>L-MOD_4 [0] IANITOR</x:v>
      </x:c>
      <x:c r="C316" s="30" t="str">
        <x:v>Available</x:v>
      </x:c>
      <x:c r="D316" s="30" t="str">
        <x:v>BOOSTER LEGS - IANITOR [0]</x:v>
      </x:c>
      <x:c r="E316" s="30" t="n">
        <x:v>7200</x:v>
      </x:c>
      <x:c r="F316" s="30" t="n">
        <x:v>34500</x:v>
      </x:c>
      <x:c r="G316" s="30" t="n">
        <x:v>730</x:v>
      </x:c>
      <x:c r="H316" s="30" t="n">
        <x:v>1550</x:v>
      </x:c>
      <x:c r="I316" s="30" t="n">
        <x:v>1400</x:v>
      </x:c>
      <x:c r="J316" s="30" t="n">
        <x:v>10</x:v>
      </x:c>
      <x:c r="K316" s="30" t="n">
        <x:v>766</x:v>
      </x:c>
      <x:c r="L316" s="30" t="n">
        <x:v>75200</x:v>
      </x:c>
      <x:c r="M316" s="30" t="n">
        <x:v>80</x:v>
      </x:c>
      <x:c r="N316" s="30" t="n">
        <x:v>400</x:v>
      </x:c>
      <x:c r="O316" s="30" t="str">
        <x:v>5055</x:v>
      </x:c>
      <x:c r="P316" s="25"/>
      <x:c r="Q316" s="25"/>
      <x:c r="R316" s="25"/>
      <x:c r="S316" s="25"/>
      <x:c r="T316" s="25"/>
      <x:c r="U316" s="25"/>
      <x:c r="V316" s="25"/>
    </x:row>
    <x:row r="317">
      <x:c r="A317" s="29" t="str">
        <x:v>53080900</x:v>
      </x:c>
      <x:c r="B317" s="30" t="str">
        <x:v>L-MOD_18 PRAETOR</x:v>
      </x:c>
      <x:c r="C317" s="30" t="str">
        <x:v>Available</x:v>
      </x:c>
      <x:c r="D317" s="30" t="str">
        <x:v>LEGS - PRAETOR</x:v>
      </x:c>
      <x:c r="E317" s="30" t="n">
        <x:v>3960</x:v>
      </x:c>
      <x:c r="F317" s="30" t="n">
        <x:v>18170</x:v>
      </x:c>
      <x:c r="G317" s="30" t="n">
        <x:v>408</x:v>
      </x:c>
      <x:c r="H317" s="30" t="n">
        <x:v>1550</x:v>
      </x:c>
      <x:c r="I317" s="30" t="n">
        <x:v>1400</x:v>
      </x:c>
      <x:c r="J317" s="30" t="n">
        <x:v>-1.8</x:v>
      </x:c>
      <x:c r="K317" s="30" t="n">
        <x:v>903</x:v>
      </x:c>
      <x:c r="L317" s="30" t="n">
        <x:v>60100</x:v>
      </x:c>
      <x:c r="M317" s="30" t="n">
        <x:v>44</x:v>
      </x:c>
      <x:c r="N317" s="30" t="n">
        <x:v>400</x:v>
      </x:c>
      <x:c r="O317" s="30" t="str">
        <x:v>8420</x:v>
      </x:c>
      <x:c r="P317" s="25"/>
      <x:c r="Q317" s="25"/>
      <x:c r="R317" s="25"/>
      <x:c r="S317" s="25"/>
      <x:c r="T317" s="25"/>
      <x:c r="U317" s="25"/>
      <x:c r="V317" s="25"/>
    </x:row>
    <x:row r="318">
      <x:c r="A318" s="29" t="str">
        <x:v>53081000</x:v>
      </x:c>
      <x:c r="B318" s="30" t="str">
        <x:v>MAD-FL-34-G-LG DREAMER</x:v>
      </x:c>
      <x:c r="C318" s="30" t="str">
        <x:v>Available</x:v>
      </x:c>
      <x:c r="D318" s="30" t="str">
        <x:v>LEGS - NIGHTMARE FIXED</x:v>
      </x:c>
      <x:c r="E318" s="30" t="n">
        <x:v>4710</x:v>
      </x:c>
      <x:c r="F318" s="30" t="n">
        <x:v>23500</x:v>
      </x:c>
      <x:c r="G318" s="30" t="n">
        <x:v>330</x:v>
      </x:c>
      <x:c r="H318" s="30" t="n">
        <x:v>1550</x:v>
      </x:c>
      <x:c r="I318" s="30" t="n">
        <x:v>1400</x:v>
      </x:c>
      <x:c r="J318" s="30" t="n">
        <x:v>2.6</x:v>
      </x:c>
      <x:c r="K318" s="30" t="n">
        <x:v>896</x:v>
      </x:c>
      <x:c r="L318" s="30" t="n">
        <x:v>68880</x:v>
      </x:c>
      <x:c r="M318" s="30" t="n">
        <x:v>21</x:v>
      </x:c>
      <x:c r="N318" s="30" t="n">
        <x:v>400</x:v>
      </x:c>
      <x:c r="O318" s="30" t="str">
        <x:v>1035</x:v>
      </x:c>
      <x:c r="P318" s="25"/>
      <x:c r="Q318" s="25"/>
      <x:c r="R318" s="25"/>
      <x:c r="S318" s="25"/>
      <x:c r="T318" s="25"/>
      <x:c r="U318" s="25"/>
      <x:c r="V318" s="25"/>
    </x:row>
    <x:row r="319">
      <x:c r="A319" s="29" t="str">
        <x:v>53081100</x:v>
      </x:c>
      <x:c r="B319" s="30" t="str">
        <x:v>L-MOD_5-8 DOMINUS</x:v>
      </x:c>
      <x:c r="C319" s="30" t="str">
        <x:v>Available</x:v>
      </x:c>
      <x:c r="D319" s="30" t="str">
        <x:v>LEGS - DOMINUS</x:v>
      </x:c>
      <x:c r="E319" s="30" t="n">
        <x:v>5300</x:v>
      </x:c>
      <x:c r="F319" s="30" t="n">
        <x:v>27660</x:v>
      </x:c>
      <x:c r="G319" s="30" t="n">
        <x:v>380</x:v>
      </x:c>
      <x:c r="H319" s="30" t="n">
        <x:v>1550</x:v>
      </x:c>
      <x:c r="I319" s="30" t="n">
        <x:v>1400</x:v>
      </x:c>
      <x:c r="J319" s="30" t="n">
        <x:v>8.05</x:v>
      </x:c>
      <x:c r="K319" s="30" t="n">
        <x:v>784</x:v>
      </x:c>
      <x:c r="L319" s="30" t="n">
        <x:v>82100</x:v>
      </x:c>
      <x:c r="M319" s="30" t="n">
        <x:v>11</x:v>
      </x:c>
      <x:c r="N319" s="30" t="n">
        <x:v>400</x:v>
      </x:c>
      <x:c r="O319" s="30" t="str">
        <x:v>2244</x:v>
      </x:c>
      <x:c r="P319" s="25"/>
      <x:c r="Q319" s="25"/>
      <x:c r="R319" s="25"/>
      <x:c r="S319" s="25"/>
      <x:c r="T319" s="25"/>
      <x:c r="U319" s="25"/>
      <x:c r="V319" s="25"/>
    </x:row>
    <x:row r="320">
      <x:c r="A320" s="29" t="str">
        <x:v>53082700</x:v>
      </x:c>
      <x:c r="B320" s="30" t="str">
        <x:v>ABENDGANS/42T</x:v>
      </x:c>
      <x:c r="C320" s="30" t="str">
        <x:v>Available</x:v>
      </x:c>
      <x:c r="D320" s="30" t="str">
        <x:v>LEGS - FRAGILE</x:v>
      </x:c>
      <x:c r="E320" s="30" t="n">
        <x:v>2400</x:v>
      </x:c>
      <x:c r="F320" s="30" t="n">
        <x:v>11000</x:v>
      </x:c>
      <x:c r="G320" s="30" t="n">
        <x:v>300</x:v>
      </x:c>
      <x:c r="H320" s="30" t="n">
        <x:v>1550</x:v>
      </x:c>
      <x:c r="I320" s="30" t="n">
        <x:v>1400</x:v>
      </x:c>
      <x:c r="J320" s="30" t="n">
        <x:v>-2.96</x:v>
      </x:c>
      <x:c r="K320" s="30" t="n">
        <x:v>610</x:v>
      </x:c>
      <x:c r="L320" s="30" t="n">
        <x:v>51310</x:v>
      </x:c>
      <x:c r="M320" s="30" t="n">
        <x:v>55</x:v>
      </x:c>
      <x:c r="N320" s="30" t="n">
        <x:v>400</x:v>
      </x:c>
      <x:c r="O320" s="30" t="str">
        <x:v>8890</x:v>
      </x:c>
      <x:c r="P320" s="25"/>
      <x:c r="Q320" s="25"/>
      <x:c r="R320" s="25"/>
      <x:c r="S320" s="25"/>
      <x:c r="T320" s="25"/>
      <x:c r="U320" s="25"/>
      <x:c r="V320" s="25"/>
    </x:row>
    <x:row r="321">
      <x:c r="A321" s="29" t="str">
        <x:v>53120100</x:v>
      </x:c>
      <x:c r="B321" s="30" t="str">
        <x:v>EISVOGEL/42K</x:v>
      </x:c>
      <x:c r="C321" s="30" t="str">
        <x:v>Available</x:v>
      </x:c>
      <x:c r="D321" s="30" t="str">
        <x:v>REVERSE JOINT LEGS - EISVOGEL</x:v>
      </x:c>
      <x:c r="E321" s="30" t="n">
        <x:v>4314</x:v>
      </x:c>
      <x:c r="F321" s="30" t="n">
        <x:v>16510</x:v>
      </x:c>
      <x:c r="G321" s="30" t="n">
        <x:v>416</x:v>
      </x:c>
      <x:c r="H321" s="30" t="n">
        <x:v>1550</x:v>
      </x:c>
      <x:c r="I321" s="30" t="n">
        <x:v>1400</x:v>
      </x:c>
      <x:c r="J321" s="30" t="n">
        <x:v>-0.2</x:v>
      </x:c>
      <x:c r="K321" s="30" t="n">
        <x:v>800</x:v>
      </x:c>
      <x:c r="L321" s="30" t="n">
        <x:v>61380</x:v>
      </x:c>
      <x:c r="M321" s="30" t="n">
        <x:v>73</x:v>
      </x:c>
      <x:c r="N321" s="30" t="n">
        <x:v>400</x:v>
      </x:c>
      <x:c r="O321" s="30" t="str">
        <x:v>1999</x:v>
      </x:c>
      <x:c r="P321" s="25"/>
      <x:c r="Q321" s="25"/>
      <x:c r="R321" s="25"/>
      <x:c r="S321" s="25"/>
      <x:c r="T321" s="25"/>
      <x:c r="U321" s="25"/>
      <x:c r="V321" s="25"/>
    </x:row>
    <x:row r="322">
      <x:c r="A322" s="29" t="str">
        <x:v>53150100</x:v>
      </x:c>
      <x:c r="B322" s="30" t="str">
        <x:v>AAS03L: EKDROMOI</x:v>
      </x:c>
      <x:c r="C322" s="30" t="str">
        <x:v>Available</x:v>
      </x:c>
      <x:c r="D322" s="30" t="str">
        <x:v>REVERSE JOINT LEGS - Ekdromoi</x:v>
      </x:c>
      <x:c r="E322" s="30" t="n">
        <x:v>4210</x:v>
      </x:c>
      <x:c r="F322" s="30" t="n">
        <x:v>21150</x:v>
      </x:c>
      <x:c r="G322" s="30" t="n">
        <x:v>410</x:v>
      </x:c>
      <x:c r="H322" s="30" t="n">
        <x:v>1550</x:v>
      </x:c>
      <x:c r="I322" s="30" t="n">
        <x:v>1400</x:v>
      </x:c>
      <x:c r="J322" s="30" t="n">
        <x:v>6.2</x:v>
      </x:c>
      <x:c r="K322" s="30" t="n">
        <x:v>769</x:v>
      </x:c>
      <x:c r="L322" s="30" t="n">
        <x:v>68900</x:v>
      </x:c>
      <x:c r="M322" s="30" t="n">
        <x:v>73</x:v>
      </x:c>
      <x:c r="N322" s="30" t="n">
        <x:v>400</x:v>
      </x:c>
      <x:c r="O322" s="30" t="str">
        <x:v>8880</x:v>
      </x:c>
      <x:c r="P322" s="25"/>
      <x:c r="Q322" s="25"/>
      <x:c r="R322" s="25"/>
      <x:c r="S322" s="25"/>
      <x:c r="T322" s="25"/>
      <x:c r="U322" s="25"/>
      <x:c r="V322" s="25"/>
    </x:row>
    <x:row r="323">
      <x:c r="A323" s="29" t="str">
        <x:v>53150200</x:v>
      </x:c>
      <x:c r="B323" s="30" t="str">
        <x:v>EL-DH-04 AVISPA</x:v>
      </x:c>
      <x:c r="C323" s="30" t="str">
        <x:v>Available</x:v>
      </x:c>
      <x:c r="D323" s="30" t="str">
        <x:v>REVERSE JOINT LEGS - Avispa</x:v>
      </x:c>
      <x:c r="E323" s="30" t="n">
        <x:v>3090</x:v>
      </x:c>
      <x:c r="F323" s="30" t="n">
        <x:v>18900</x:v>
      </x:c>
      <x:c r="G323" s="30" t="n">
        <x:v>434</x:v>
      </x:c>
      <x:c r="H323" s="30" t="n">
        <x:v>1550</x:v>
      </x:c>
      <x:c r="I323" s="30" t="n">
        <x:v>1400</x:v>
      </x:c>
      <x:c r="J323" s="30" t="n">
        <x:v>-0.1</x:v>
      </x:c>
      <x:c r="K323" s="30" t="n">
        <x:v>900</x:v>
      </x:c>
      <x:c r="L323" s="30" t="n">
        <x:v>51700</x:v>
      </x:c>
      <x:c r="M323" s="30" t="n">
        <x:v>39</x:v>
      </x:c>
      <x:c r="N323" s="30" t="n">
        <x:v>400</x:v>
      </x:c>
      <x:c r="O323" s="30" t="str">
        <x:v>7120</x:v>
      </x:c>
      <x:c r="P323" s="25"/>
      <x:c r="Q323" s="25"/>
      <x:c r="R323" s="25"/>
      <x:c r="S323" s="25"/>
      <x:c r="T323" s="25"/>
      <x:c r="U323" s="25"/>
      <x:c r="V323" s="25"/>
    </x:row>
    <x:row r="324">
      <x:c r="A324" s="29" t="str">
        <x:v>53204400</x:v>
      </x:c>
      <x:c r="B324" s="30" t="str">
        <x:v>FV4M01 BASILISK</x:v>
      </x:c>
      <x:c r="C324" s="30" t="str">
        <x:v>Available</x:v>
      </x:c>
      <x:c r="D324" s="30" t="str">
        <x:v>TETRAPOD LEGS - DRAGON</x:v>
      </x:c>
      <x:c r="E324" s="30" t="n">
        <x:v>4050</x:v>
      </x:c>
      <x:c r="F324" s="30" t="n">
        <x:v>28955</x:v>
      </x:c>
      <x:c r="G324" s="30" t="n">
        <x:v>777</x:v>
      </x:c>
      <x:c r="H324" s="30" t="n">
        <x:v>1550</x:v>
      </x:c>
      <x:c r="I324" s="30" t="n">
        <x:v>1400</x:v>
      </x:c>
      <x:c r="J324" s="30" t="n">
        <x:v>4.3</x:v>
      </x:c>
      <x:c r="K324" s="30" t="n">
        <x:v>1256</x:v>
      </x:c>
      <x:c r="L324" s="30" t="n">
        <x:v>61200</x:v>
      </x:c>
      <x:c r="M324" s="30" t="n">
        <x:v>28</x:v>
      </x:c>
      <x:c r="N324" s="30" t="n">
        <x:v>400</x:v>
      </x:c>
      <x:c r="O324" s="30" t="str">
        <x:v>8152</x:v>
      </x:c>
      <x:c r="P324" s="25"/>
      <x:c r="Q324" s="25"/>
      <x:c r="R324" s="25"/>
      <x:c r="S324" s="25"/>
      <x:c r="T324" s="25"/>
      <x:c r="U324" s="25"/>
      <x:c r="V324" s="25"/>
    </x:row>
    <x:row r="325">
      <x:c r="A325" s="29" t="str">
        <x:v>53280400</x:v>
      </x:c>
      <x:c r="B325" s="30" t="str">
        <x:v>L-MOD_11 IMPERATOR</x:v>
      </x:c>
      <x:c r="C325" s="30" t="str">
        <x:v>Available</x:v>
      </x:c>
      <x:c r="D325" s="30" t="str">
        <x:v>TETRAPOD LEGS - Imperator</x:v>
      </x:c>
      <x:c r="E325" s="30" t="n">
        <x:v>6400</x:v>
      </x:c>
      <x:c r="F325" s="30" t="n">
        <x:v>42600</x:v>
      </x:c>
      <x:c r="G325" s="30" t="n">
        <x:v>766</x:v>
      </x:c>
      <x:c r="H325" s="30" t="n">
        <x:v>1550</x:v>
      </x:c>
      <x:c r="I325" s="30" t="n">
        <x:v>1400</x:v>
      </x:c>
      <x:c r="J325" s="30" t="n">
        <x:v>8</x:v>
      </x:c>
      <x:c r="K325" s="30" t="n">
        <x:v>1480</x:v>
      </x:c>
      <x:c r="L325" s="30" t="n">
        <x:v>90460</x:v>
      </x:c>
      <x:c r="M325" s="30" t="n">
        <x:v>10</x:v>
      </x:c>
      <x:c r="N325" s="30" t="n">
        <x:v>400</x:v>
      </x:c>
      <x:c r="O325" s="30" t="str">
        <x:v>4477</x:v>
      </x:c>
      <x:c r="P325" s="25"/>
      <x:c r="Q325" s="25"/>
      <x:c r="R325" s="25"/>
      <x:c r="S325" s="25"/>
      <x:c r="T325" s="25"/>
      <x:c r="U325" s="25"/>
      <x:c r="V325" s="25"/>
    </x:row>
    <x:row r="326">
      <x:c r="A326" s="29" t="str">
        <x:v>53300100</x:v>
      </x:c>
      <x:c r="B326" s="30" t="str">
        <x:v>MB-021 CLEMENS</x:v>
      </x:c>
      <x:c r="C326" s="30" t="str">
        <x:v>Available</x:v>
      </x:c>
      <x:c r="D326" s="30" t="str">
        <x:v>BIKE (TANK) LEGS - Balam Bike</x:v>
      </x:c>
      <x:c r="E326" s="30" t="n">
        <x:v>5020</x:v>
      </x:c>
      <x:c r="F326" s="30" t="n">
        <x:v>18900</x:v>
      </x:c>
      <x:c r="G326" s="30" t="n">
        <x:v>621</x:v>
      </x:c>
      <x:c r="H326" s="30" t="n">
        <x:v>1550</x:v>
      </x:c>
      <x:c r="I326" s="30" t="n">
        <x:v>1400</x:v>
      </x:c>
      <x:c r="J326" s="30" t="n">
        <x:v>6.1</x:v>
      </x:c>
      <x:c r="K326" s="30" t="n">
        <x:v>781</x:v>
      </x:c>
      <x:c r="L326" s="30" t="n">
        <x:v>63700</x:v>
      </x:c>
      <x:c r="M326" s="30" t="n">
        <x:v>2</x:v>
      </x:c>
      <x:c r="N326" s="30" t="n">
        <x:v>300</x:v>
      </x:c>
      <x:c r="O326" s="30" t="str">
        <x:v>1111</x:v>
      </x:c>
      <x:c r="P326" s="25"/>
      <x:c r="Q326" s="25"/>
      <x:c r="R326" s="25"/>
      <x:c r="S326" s="25"/>
      <x:c r="T326" s="25"/>
      <x:c r="U326" s="25"/>
      <x:c r="V326" s="25"/>
    </x:row>
    <x:row r="327">
      <x:c r="A327" s="29" t="str">
        <x:v>53300200</x:v>
      </x:c>
      <x:c r="B327" s="30" t="str">
        <x:v>VE-48A</x:v>
      </x:c>
      <x:c r="C327" s="30" t="str">
        <x:v>Available</x:v>
      </x:c>
      <x:c r="D327" s="30" t="str">
        <x:v>BIKE (TANK) LEGS - Arqubike</x:v>
      </x:c>
      <x:c r="E327" s="30" t="n">
        <x:v>4820</x:v>
      </x:c>
      <x:c r="F327" s="30" t="n">
        <x:v>20700</x:v>
      </x:c>
      <x:c r="G327" s="30" t="n">
        <x:v>740</x:v>
      </x:c>
      <x:c r="H327" s="30" t="n">
        <x:v>1550</x:v>
      </x:c>
      <x:c r="I327" s="30" t="n">
        <x:v>1400</x:v>
      </x:c>
      <x:c r="J327" s="30" t="n">
        <x:v>4.8</x:v>
      </x:c>
      <x:c r="K327" s="30" t="n">
        <x:v>736</x:v>
      </x:c>
      <x:c r="L327" s="30" t="n">
        <x:v>60800</x:v>
      </x:c>
      <x:c r="M327" s="30" t="n">
        <x:v>2</x:v>
      </x:c>
      <x:c r="N327" s="30" t="n">
        <x:v>300</x:v>
      </x:c>
      <x:c r="O327" s="30" t="str">
        <x:v>2662</x:v>
      </x:c>
      <x:c r="P327" s="25"/>
      <x:c r="Q327" s="25"/>
      <x:c r="R327" s="25"/>
      <x:c r="S327" s="25"/>
      <x:c r="T327" s="25"/>
      <x:c r="U327" s="25"/>
      <x:c r="V327" s="25"/>
    </x:row>
    <x:row r="328">
      <x:c r="A328" s="29" t="str">
        <x:v>53300300</x:v>
      </x:c>
      <x:c r="B328" s="30" t="str">
        <x:v>MX-28 SILAS</x:v>
      </x:c>
      <x:c r="C328" s="30" t="str">
        <x:v>Available</x:v>
      </x:c>
      <x:c r="D328" s="30" t="str">
        <x:v>BIKE (TANK) LEGS - Army Bike</x:v>
      </x:c>
      <x:c r="E328" s="30" t="n">
        <x:v>7210</x:v>
      </x:c>
      <x:c r="F328" s="30" t="n">
        <x:v>26800</x:v>
      </x:c>
      <x:c r="G328" s="30" t="n">
        <x:v>566</x:v>
      </x:c>
      <x:c r="H328" s="30" t="n">
        <x:v>1550</x:v>
      </x:c>
      <x:c r="I328" s="30" t="n">
        <x:v>1400</x:v>
      </x:c>
      <x:c r="J328" s="30" t="n">
        <x:v>4.9</x:v>
      </x:c>
      <x:c r="K328" s="30" t="n">
        <x:v>1060</x:v>
      </x:c>
      <x:c r="L328" s="30" t="n">
        <x:v>76200</x:v>
      </x:c>
      <x:c r="M328" s="30" t="n">
        <x:v>2</x:v>
      </x:c>
      <x:c r="N328" s="30" t="n">
        <x:v>300</x:v>
      </x:c>
      <x:c r="O328" s="30" t="str">
        <x:v>3223</x:v>
      </x:c>
      <x:c r="P328" s="25"/>
      <x:c r="Q328" s="25"/>
      <x:c r="R328" s="25"/>
      <x:c r="S328" s="25"/>
      <x:c r="T328" s="25"/>
      <x:c r="U328" s="25"/>
      <x:c r="V328" s="25"/>
    </x:row>
    <x:row r="329">
      <x:c r="A329" s="29" t="str">
        <x:v>53340100</x:v>
      </x:c>
      <x:c r="B329" s="30" t="str">
        <x:v>LX-29 NOAH</x:v>
      </x:c>
      <x:c r="C329" s="30" t="str">
        <x:v>Available</x:v>
      </x:c>
      <x:c r="D329" s="30" t="str">
        <x:v>TANK LEGS - NOAH</x:v>
      </x:c>
      <x:c r="E329" s="30" t="n">
        <x:v>8710</x:v>
      </x:c>
      <x:c r="F329" s="30" t="n">
        <x:v>48400</x:v>
      </x:c>
      <x:c r="G329" s="30" t="n">
        <x:v>512</x:v>
      </x:c>
      <x:c r="H329" s="30" t="n">
        <x:v>1550</x:v>
      </x:c>
      <x:c r="I329" s="30" t="n">
        <x:v>1400</x:v>
      </x:c>
      <x:c r="J329" s="30" t="n">
        <x:v>7.3</x:v>
      </x:c>
      <x:c r="K329" s="30" t="n">
        <x:v>1410</x:v>
      </x:c>
      <x:c r="L329" s="30" t="n">
        <x:v>94000</x:v>
      </x:c>
      <x:c r="M329" s="30" t="n">
        <x:v>2</x:v>
      </x:c>
      <x:c r="N329" s="30" t="n">
        <x:v>300</x:v>
      </x:c>
      <x:c r="O329" s="30" t="str">
        <x:v>2005</x:v>
      </x:c>
      <x:c r="P329" s="25"/>
      <x:c r="Q329" s="25"/>
      <x:c r="R329" s="25"/>
      <x:c r="S329" s="25"/>
      <x:c r="T329" s="25"/>
      <x:c r="U329" s="25"/>
      <x:c r="V329" s="25"/>
    </x:row>
    <x:row r="330">
      <x:c r="A330" s="29" t="str">
        <x:v>53340800</x:v>
      </x:c>
      <x:c r="B330" s="30" t="str">
        <x:v>L-MOD_4 [1] IANITOR</x:v>
      </x:c>
      <x:c r="C330" s="30" t="str">
        <x:v>Available</x:v>
      </x:c>
      <x:c r="D330" s="30" t="str">
        <x:v>HOVER TANK LEGS - IANITOR [1]</x:v>
      </x:c>
      <x:c r="E330" s="30" t="n">
        <x:v>3400</x:v>
      </x:c>
      <x:c r="F330" s="30" t="n">
        <x:v>23000</x:v>
      </x:c>
      <x:c r="G330" s="30" t="n">
        <x:v>724</x:v>
      </x:c>
      <x:c r="H330" s="30" t="n">
        <x:v>1550</x:v>
      </x:c>
      <x:c r="I330" s="30" t="n">
        <x:v>1400</x:v>
      </x:c>
      <x:c r="J330" s="30" t="n">
        <x:v>2.8</x:v>
      </x:c>
      <x:c r="K330" s="30" t="n">
        <x:v>811</x:v>
      </x:c>
      <x:c r="L330" s="30" t="n">
        <x:v>51600</x:v>
      </x:c>
      <x:c r="M330" s="30" t="n">
        <x:v>2</x:v>
      </x:c>
      <x:c r="N330" s="30" t="n">
        <x:v>300</x:v>
      </x:c>
      <x:c r="O330" s="30" t="str">
        <x:v>5005</x:v>
      </x:c>
      <x:c r="P330" s="25"/>
      <x:c r="Q330" s="25"/>
      <x:c r="R330" s="25"/>
      <x:c r="S330" s="25"/>
      <x:c r="T330" s="25"/>
      <x:c r="U330" s="25"/>
      <x:c r="V330" s="25"/>
    </x:row>
    <x:row r="331">
      <x:c r="A331" s="29" t="str">
        <x:v>53888800</x:v>
      </x:c>
      <x:c r="B331" s="30" t="str">
        <x:v>FV4M79 QUETZALCOATL</x:v>
      </x:c>
      <x:c r="C331" s="30" t="str">
        <x:v>Available</x:v>
      </x:c>
      <x:c r="D331" s="30" t="str">
        <x:v>REVERSE JOINT LEGS - Poorly Disguised Scalie</x:v>
      </x:c>
      <x:c r="E331" s="30" t="n">
        <x:v>4512</x:v>
      </x:c>
      <x:c r="F331" s="30" t="n">
        <x:v>19890</x:v>
      </x:c>
      <x:c r="G331" s="30" t="n">
        <x:v>498</x:v>
      </x:c>
      <x:c r="H331" s="30" t="n">
        <x:v>1550</x:v>
      </x:c>
      <x:c r="I331" s="30" t="n">
        <x:v>1400</x:v>
      </x:c>
      <x:c r="J331" s="30" t="n">
        <x:v>8.9</x:v>
      </x:c>
      <x:c r="K331" s="30" t="n">
        <x:v>812</x:v>
      </x:c>
      <x:c r="L331" s="30" t="n">
        <x:v>66030</x:v>
      </x:c>
      <x:c r="M331" s="30" t="n">
        <x:v>55</x:v>
      </x:c>
      <x:c r="N331" s="30" t="n">
        <x:v>400</x:v>
      </x:c>
      <x:c r="O331" s="30" t="str">
        <x:v>4444</x:v>
      </x:c>
      <x:c r="P331" s="25"/>
      <x:c r="Q331" s="25"/>
      <x:c r="R331" s="25"/>
      <x:c r="S331" s="25"/>
      <x:c r="T331" s="25"/>
      <x:c r="U331" s="25"/>
      <x:c r="V331" s="25"/>
    </x:row>
    <x:row r="332">
      <x:c r="A332" s="31" t="str">
        <x:v>99900300</x:v>
      </x:c>
      <x:c r="B332" s="32" t="str">
        <x:v>2C-2000 MANGLED CRAWLERS</x:v>
      </x:c>
      <x:c r="C332" s="32" t="str">
        <x:v>Available</x:v>
      </x:c>
      <x:c r="D332" s="32" t="str">
        <x:v>LEGS [NPC] - 2C-2000 CRAWLER (Damaged)</x:v>
      </x:c>
      <x:c r="E332" s="32" t="n">
        <x:v>3650</x:v>
      </x:c>
      <x:c r="F332" s="32" t="n">
        <x:v>16300</x:v>
      </x:c>
      <x:c r="G332" s="32" t="n">
        <x:v>229</x:v>
      </x:c>
      <x:c r="H332" s="32" t="n">
        <x:v>1550</x:v>
      </x:c>
      <x:c r="I332" s="32" t="n">
        <x:v>1400</x:v>
      </x:c>
      <x:c r="J332" s="32" t="n">
        <x:v>-1</x:v>
      </x:c>
      <x:c r="K332" s="32" t="n">
        <x:v>618</x:v>
      </x:c>
      <x:c r="L332" s="32" t="n">
        <x:v>53700</x:v>
      </x:c>
      <x:c r="M332" s="32" t="n">
        <x:v>25</x:v>
      </x:c>
      <x:c r="N332" s="32" t="n">
        <x:v>400</x:v>
      </x:c>
      <x:c r="O332" s="32" t="str">
        <x:v>9400</x:v>
      </x:c>
      <x:c r="P332" s="25"/>
      <x:c r="Q332" s="25"/>
      <x:c r="R332" s="25"/>
      <x:c r="S332" s="25"/>
      <x:c r="T332" s="25"/>
      <x:c r="U332" s="25"/>
      <x:c r="V332" s="25"/>
    </x:row>
  </x:sheetData>
  <x:mergeCells>
    <x:mergeCell ref="A1:V1"/>
    <x:mergeCell ref="A2:V2"/>
    <x:mergeCell ref="A4:L4"/>
    <x:mergeCell ref="A14:Q14"/>
    <x:mergeCell ref="A27:M27"/>
    <x:mergeCell ref="A52:V52"/>
    <x:mergeCell ref="A193:O193"/>
    <x:mergeCell ref="A231:O231"/>
    <x:mergeCell ref="A267:O267"/>
    <x:mergeCell ref="A300:O300"/>
  </x:mergeCells>
  <x:conditionalFormatting sqref="C6:C11">
    <x:cfRule type="containsText" dxfId="8" priority="1" operator="containsText" text="No matching"/>
  </x:conditionalFormatting>
  <x:conditionalFormatting sqref="C16:C24">
    <x:cfRule type="containsText" dxfId="9" priority="2" operator="containsText" text="No matching"/>
  </x:conditionalFormatting>
  <x:conditionalFormatting sqref="C29:C49">
    <x:cfRule type="containsText" dxfId="10" priority="3" operator="containsText" text="No matching"/>
  </x:conditionalFormatting>
  <x:conditionalFormatting sqref="C54:C190">
    <x:cfRule type="containsText" dxfId="11" priority="4" operator="containsText" text="No matching"/>
  </x:conditionalFormatting>
  <x:conditionalFormatting sqref="C195:C228">
    <x:cfRule type="containsText" dxfId="12" priority="5" operator="containsText" text="No matching"/>
  </x:conditionalFormatting>
  <x:conditionalFormatting sqref="C233:C264">
    <x:cfRule type="containsText" dxfId="13" priority="6" operator="containsText" text="No matching"/>
  </x:conditionalFormatting>
  <x:conditionalFormatting sqref="C269:C297">
    <x:cfRule type="containsText" dxfId="14" priority="7" operator="containsText" text="No matching"/>
  </x:conditionalFormatting>
  <x:conditionalFormatting sqref="C302:C332">
    <x:cfRule type="containsText" dxfId="15" priority="8" operator="containsText" text="No matching"/>
  </x:conditionalFormatting>
  <x:pageMargins left="0.7" right="0.7" top="0.75" bottom="0.75" header="0.3" footer="0.3"/>
  <x:tableParts count="8">
    <x:tablePart xmlns:r="http://schemas.openxmlformats.org/officeDocument/2006/relationships" r:id="R5e2488a5c5a84c0d"/>
    <x:tablePart xmlns:r="http://schemas.openxmlformats.org/officeDocument/2006/relationships" r:id="Raee599a2496149e9"/>
    <x:tablePart xmlns:r="http://schemas.openxmlformats.org/officeDocument/2006/relationships" r:id="Rca5aad7ac58141b2"/>
    <x:tablePart xmlns:r="http://schemas.openxmlformats.org/officeDocument/2006/relationships" r:id="R027baafb532e48ee"/>
    <x:tablePart xmlns:r="http://schemas.openxmlformats.org/officeDocument/2006/relationships" r:id="R7810d1047744455b"/>
    <x:tablePart xmlns:r="http://schemas.openxmlformats.org/officeDocument/2006/relationships" r:id="Rbead0f15c0a64dbe"/>
    <x:tablePart xmlns:r="http://schemas.openxmlformats.org/officeDocument/2006/relationships" r:id="R3d28e983f25a48da"/>
    <x:tablePart xmlns:r="http://schemas.openxmlformats.org/officeDocument/2006/relationships" r:id="R97b4abd1ff364c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36" hidden="0" customWidth="1"/>
    <x:col min="5" max="5" width="25" hidden="0" customWidth="1"/>
    <x:col min="6" max="6" width="30" hidden="0" customWidth="1"/>
    <x:col min="7" max="7" width="20" hidden="0" customWidth="1"/>
    <x:col min="8" max="8" width="20" hidden="0" customWidth="1"/>
    <x:col min="9" max="9" width="14" hidden="0" customWidth="1"/>
    <x:col min="10" max="10" width="14" hidden="0" customWidth="1"/>
  </x:cols>
  <x:sheetData>
    <x:row r="1" ht="34" customHeight="1">
      <x:c r="A1" s="154" t="str">
        <x:v>Modified Parts</x:v>
      </x:c>
      <x:c r="B1" s="154"/>
      <x:c r="C1" s="154"/>
      <x:c r="D1" s="154"/>
      <x:c r="E1" s="154"/>
      <x:c r="F1" s="154"/>
      <x:c r="G1" s="154"/>
      <x:c r="H1" s="154"/>
      <x:c r="I1" s="154"/>
      <x:c r="J1" s="154"/>
    </x:row>
    <x:row r="2" ht="26" customHeight="1">
      <x:c r="A2" s="24" t="str">
        <x:v>Parts sharing a base-game ID where a user-facing stat or display name differs in Aftermath.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32" customHeight="1">
      <x:c r="A4" s="155" t="str">
        <x:v>Part Type</x:v>
      </x:c>
      <x:c r="B4" s="155" t="str">
        <x:v>Armor Subtype</x:v>
      </x:c>
      <x:c r="C4" s="155" t="str">
        <x:v>ID</x:v>
      </x:c>
      <x:c r="D4" s="155" t="str">
        <x:v>Part Name</x:v>
      </x:c>
      <x:c r="E4" s="155" t="str">
        <x:v>Changed Stat</x:v>
      </x:c>
      <x:c r="F4" s="155" t="str">
        <x:v>Source Field</x:v>
      </x:c>
      <x:c r="G4" s="155" t="str">
        <x:v>Base Game</x:v>
      </x:c>
      <x:c r="H4" s="155" t="str">
        <x:v>Aftermath</x:v>
      </x:c>
      <x:c r="I4" s="155" t="str">
        <x:v>Delta</x:v>
      </x:c>
      <x:c r="J4" s="155" t="str">
        <x:v>% Change</x:v>
      </x:c>
    </x:row>
    <x:row r="5">
      <x:c r="A5" s="28" t="str">
        <x:v>Armor</x:v>
      </x:c>
      <x:c r="B5" s="28" t="str">
        <x:v>Arms</x:v>
      </x:c>
      <x:c r="C5" s="27" t="str">
        <x:v>52050000</x:v>
      </x:c>
      <x:c r="D5" s="28" t="str">
        <x:v>04-101 MIND ALPHA</x:v>
      </x:c>
      <x:c r="E5" s="28" t="str">
        <x:v>Attitude Stability</x:v>
      </x:c>
      <x:c r="F5" s="28" t="str">
        <x:v>stability</x:v>
      </x:c>
      <x:c r="G5" s="28" t="n">
        <x:v>0</x:v>
      </x:c>
      <x:c r="H5" s="28" t="n">
        <x:v>262</x:v>
      </x:c>
      <x:c r="I5" s="28" t="n">
        <x:f>IF(AND(ISNUMBER(G5),ISNUMBER(H5)),H5-G5,"")</x:f>
        <x:v>262</x:v>
      </x:c>
      <x:c r="J5" s="156" t="str">
        <x:f>IF(AND(ISNUMBER(G5),ISNUMBER(H5),G5&lt;&gt;0),(H5-G5)/ABS(G5),"")</x:f>
      </x:c>
    </x:row>
    <x:row r="6">
      <x:c r="A6" s="30" t="str">
        <x:v>Armor</x:v>
      </x:c>
      <x:c r="B6" s="30" t="str">
        <x:v>Arms</x:v>
      </x:c>
      <x:c r="C6" s="29" t="str">
        <x:v>52070200</x:v>
      </x:c>
      <x:c r="D6" s="30" t="str">
        <x:v>AA-J-123 BASHO</x:v>
      </x:c>
      <x:c r="E6" s="30" t="str">
        <x:v>Attitude Stability</x:v>
      </x:c>
      <x:c r="F6" s="30" t="str">
        <x:v>stability</x:v>
      </x:c>
      <x:c r="G6" s="30" t="n">
        <x:v>0</x:v>
      </x:c>
      <x:c r="H6" s="30" t="n">
        <x:v>202</x:v>
      </x:c>
      <x:c r="I6" s="30" t="n">
        <x:f>IF(AND(ISNUMBER(G6),ISNUMBER(H6)),H6-G6,"")</x:f>
        <x:v>202</x:v>
      </x:c>
      <x:c r="J6" s="157" t="str">
        <x:f>IF(AND(ISNUMBER(G6),ISNUMBER(H6),G6&lt;&gt;0),(H6-G6)/ABS(G6),"")</x:f>
      </x:c>
    </x:row>
    <x:row r="7">
      <x:c r="A7" s="30" t="str">
        <x:v>Armor</x:v>
      </x:c>
      <x:c r="B7" s="30" t="str">
        <x:v>Arms</x:v>
      </x:c>
      <x:c r="C7" s="29" t="str">
        <x:v>52900000</x:v>
      </x:c>
      <x:c r="D7" s="30" t="str">
        <x:v>AA-J-123/RC JAILBREAK</x:v>
      </x:c>
      <x:c r="E7" s="30" t="str">
        <x:v>AP</x:v>
      </x:c>
      <x:c r="F7" s="30" t="str">
        <x:v>ap</x:v>
      </x:c>
      <x:c r="G7" s="30" t="n">
        <x:v>1000</x:v>
      </x:c>
      <x:c r="H7" s="30" t="n">
        <x:v>1510</x:v>
      </x:c>
      <x:c r="I7" s="30" t="n">
        <x:f>IF(AND(ISNUMBER(G7),ISNUMBER(H7)),H7-G7,"")</x:f>
        <x:v>510</x:v>
      </x:c>
      <x:c r="J7" s="157" t="n">
        <x:f>IF(AND(ISNUMBER(G7),ISNUMBER(H7),G7&lt;&gt;0),(H7-G7)/ABS(G7),"")</x:f>
        <x:v>0.51</x:v>
      </x:c>
    </x:row>
    <x:row r="8">
      <x:c r="A8" s="30" t="str">
        <x:v>Armor</x:v>
      </x:c>
      <x:c r="B8" s="30" t="str">
        <x:v>Arms</x:v>
      </x:c>
      <x:c r="C8" s="29" t="str">
        <x:v>52900000</x:v>
      </x:c>
      <x:c r="D8" s="30" t="str">
        <x:v>AA-J-123/RC JAILBREAK</x:v>
      </x:c>
      <x:c r="E8" s="30" t="str">
        <x:v>Arms Load Limit</x:v>
      </x:c>
      <x:c r="F8" s="30" t="str">
        <x:v>armMaxWeight</x:v>
      </x:c>
      <x:c r="G8" s="30" t="n">
        <x:v>10520</x:v>
      </x:c>
      <x:c r="H8" s="30" t="n">
        <x:v>12110</x:v>
      </x:c>
      <x:c r="I8" s="30" t="n">
        <x:f>IF(AND(ISNUMBER(G8),ISNUMBER(H8)),H8-G8,"")</x:f>
        <x:v>1590</x:v>
      </x:c>
      <x:c r="J8" s="157" t="n">
        <x:f>IF(AND(ISNUMBER(G8),ISNUMBER(H8),G8&lt;&gt;0),(H8-G8)/ABS(G8),"")</x:f>
        <x:v>0.15114068441064638</x:v>
      </x:c>
    </x:row>
    <x:row r="9">
      <x:c r="A9" s="30" t="str">
        <x:v>Armor</x:v>
      </x:c>
      <x:c r="B9" s="30" t="str">
        <x:v>Arms</x:v>
      </x:c>
      <x:c r="C9" s="29" t="str">
        <x:v>52900000</x:v>
      </x:c>
      <x:c r="D9" s="30" t="str">
        <x:v>AA-J-123/RC JAILBREAK</x:v>
      </x:c>
      <x:c r="E9" s="30" t="str">
        <x:v>Attitude Stability</x:v>
      </x:c>
      <x:c r="F9" s="30" t="str">
        <x:v>stability</x:v>
      </x:c>
      <x:c r="G9" s="30" t="n">
        <x:v>0</x:v>
      </x:c>
      <x:c r="H9" s="30" t="n">
        <x:v>179</x:v>
      </x:c>
      <x:c r="I9" s="30" t="n">
        <x:f>IF(AND(ISNUMBER(G9),ISNUMBER(H9)),H9-G9,"")</x:f>
        <x:v>179</x:v>
      </x:c>
      <x:c r="J9" s="157" t="str">
        <x:f>IF(AND(ISNUMBER(G9),ISNUMBER(H9),G9&lt;&gt;0),(H9-G9)/ABS(G9),"")</x:f>
      </x:c>
    </x:row>
    <x:row r="10">
      <x:c r="A10" s="30" t="str">
        <x:v>Armor</x:v>
      </x:c>
      <x:c r="B10" s="30" t="str">
        <x:v>Arms</x:v>
      </x:c>
      <x:c r="C10" s="29" t="str">
        <x:v>52900000</x:v>
      </x:c>
      <x:c r="D10" s="30" t="str">
        <x:v>AA-J-123/RC JAILBREAK</x:v>
      </x:c>
      <x:c r="E10" s="30" t="str">
        <x:v>EN Load</x:v>
      </x:c>
      <x:c r="F10" s="30" t="str">
        <x:v>consumeEN</x:v>
      </x:c>
      <x:c r="G10" s="30" t="n">
        <x:v>210</x:v>
      </x:c>
      <x:c r="H10" s="30" t="n">
        <x:v>220</x:v>
      </x:c>
      <x:c r="I10" s="30" t="n">
        <x:f>IF(AND(ISNUMBER(G10),ISNUMBER(H10)),H10-G10,"")</x:f>
        <x:v>10</x:v>
      </x:c>
      <x:c r="J10" s="157" t="n">
        <x:f>IF(AND(ISNUMBER(G10),ISNUMBER(H10),G10&lt;&gt;0),(H10-G10)/ABS(G10),"")</x:f>
        <x:v>0.047619047619047616</x:v>
      </x:c>
    </x:row>
    <x:row r="11">
      <x:c r="A11" s="30" t="str">
        <x:v>Armor</x:v>
      </x:c>
      <x:c r="B11" s="30" t="str">
        <x:v>Arms</x:v>
      </x:c>
      <x:c r="C11" s="29" t="str">
        <x:v>52900000</x:v>
      </x:c>
      <x:c r="D11" s="30" t="str">
        <x:v>AA-J-123/RC JAILBREAK</x:v>
      </x:c>
      <x:c r="E11" s="30" t="str">
        <x:v>Explosive Defense</x:v>
      </x:c>
      <x:c r="F11" s="30" t="str">
        <x:v>ProCutRate_Fire</x:v>
      </x:c>
      <x:c r="G11" s="30" t="n">
        <x:v>1.5</x:v>
      </x:c>
      <x:c r="H11" s="30" t="n">
        <x:v>1.7</x:v>
      </x:c>
      <x:c r="I11" s="30" t="n">
        <x:f>IF(AND(ISNUMBER(G11),ISNUMBER(H11)),H11-G11,"")</x:f>
        <x:v>0.19999999999999996</x:v>
      </x:c>
      <x:c r="J11" s="157" t="n">
        <x:f>IF(AND(ISNUMBER(G11),ISNUMBER(H11),G11&lt;&gt;0),(H11-G11)/ABS(G11),"")</x:f>
        <x:v>0.1333333333333333</x:v>
      </x:c>
    </x:row>
    <x:row r="12">
      <x:c r="A12" s="30" t="str">
        <x:v>Armor</x:v>
      </x:c>
      <x:c r="B12" s="30" t="str">
        <x:v>Arms</x:v>
      </x:c>
      <x:c r="C12" s="29" t="str">
        <x:v>52900000</x:v>
      </x:c>
      <x:c r="D12" s="30" t="str">
        <x:v>AA-J-123/RC JAILBREAK</x:v>
      </x:c>
      <x:c r="E12" s="30" t="str">
        <x:v>Weight</x:v>
      </x:c>
      <x:c r="F12" s="30" t="str">
        <x:v>weight</x:v>
      </x:c>
      <x:c r="G12" s="30" t="n">
        <x:v>8480</x:v>
      </x:c>
      <x:c r="H12" s="30" t="n">
        <x:v>12860</x:v>
      </x:c>
      <x:c r="I12" s="30" t="n">
        <x:f>IF(AND(ISNUMBER(G12),ISNUMBER(H12)),H12-G12,"")</x:f>
        <x:v>4380</x:v>
      </x:c>
      <x:c r="J12" s="157" t="n">
        <x:f>IF(AND(ISNUMBER(G12),ISNUMBER(H12),G12&lt;&gt;0),(H12-G12)/ABS(G12),"")</x:f>
        <x:v>0.5165094339622641</x:v>
      </x:c>
    </x:row>
    <x:row r="13">
      <x:c r="A13" s="30" t="str">
        <x:v>Armor</x:v>
      </x:c>
      <x:c r="B13" s="30" t="str">
        <x:v>Arms</x:v>
      </x:c>
      <x:c r="C13" s="29" t="str">
        <x:v>52070400</x:v>
      </x:c>
      <x:c r="D13" s="30" t="str">
        <x:v>AC-2000 TOOL ARM</x:v>
      </x:c>
      <x:c r="E13" s="30" t="str">
        <x:v>Attitude Stability</x:v>
      </x:c>
      <x:c r="F13" s="30" t="str">
        <x:v>stability</x:v>
      </x:c>
      <x:c r="G13" s="30" t="n">
        <x:v>0</x:v>
      </x:c>
      <x:c r="H13" s="30" t="n">
        <x:v>212</x:v>
      </x:c>
      <x:c r="I13" s="30" t="n">
        <x:f>IF(AND(ISNUMBER(G13),ISNUMBER(H13)),H13-G13,"")</x:f>
        <x:v>212</x:v>
      </x:c>
      <x:c r="J13" s="157" t="str">
        <x:f>IF(AND(ISNUMBER(G13),ISNUMBER(H13),G13&lt;&gt;0),(H13-G13)/ABS(G13),"")</x:f>
      </x:c>
    </x:row>
    <x:row r="14">
      <x:c r="A14" s="30" t="str">
        <x:v>Armor</x:v>
      </x:c>
      <x:c r="B14" s="30" t="str">
        <x:v>Arms</x:v>
      </x:c>
      <x:c r="C14" s="29" t="str">
        <x:v>52070300</x:v>
      </x:c>
      <x:c r="D14" s="30" t="str">
        <x:v>AC-3000 WRECKER</x:v>
      </x:c>
      <x:c r="E14" s="30" t="str">
        <x:v>Arms Load Limit</x:v>
      </x:c>
      <x:c r="F14" s="30" t="str">
        <x:v>armMaxWeight</x:v>
      </x:c>
      <x:c r="G14" s="30" t="n">
        <x:v>15800</x:v>
      </x:c>
      <x:c r="H14" s="30" t="n">
        <x:v>17100</x:v>
      </x:c>
      <x:c r="I14" s="30" t="n">
        <x:f>IF(AND(ISNUMBER(G14),ISNUMBER(H14)),H14-G14,"")</x:f>
        <x:v>1300</x:v>
      </x:c>
      <x:c r="J14" s="157" t="n">
        <x:f>IF(AND(ISNUMBER(G14),ISNUMBER(H14),G14&lt;&gt;0),(H14-G14)/ABS(G14),"")</x:f>
        <x:v>0.08227848101265822</x:v>
      </x:c>
    </x:row>
    <x:row r="15">
      <x:c r="A15" s="30" t="str">
        <x:v>Armor</x:v>
      </x:c>
      <x:c r="B15" s="30" t="str">
        <x:v>Arms</x:v>
      </x:c>
      <x:c r="C15" s="29" t="str">
        <x:v>52070300</x:v>
      </x:c>
      <x:c r="D15" s="30" t="str">
        <x:v>AC-3000 WRECKER</x:v>
      </x:c>
      <x:c r="E15" s="30" t="str">
        <x:v>Attitude Stability</x:v>
      </x:c>
      <x:c r="F15" s="30" t="str">
        <x:v>stability</x:v>
      </x:c>
      <x:c r="G15" s="30" t="n">
        <x:v>0</x:v>
      </x:c>
      <x:c r="H15" s="30" t="n">
        <x:v>332</x:v>
      </x:c>
      <x:c r="I15" s="30" t="n">
        <x:f>IF(AND(ISNUMBER(G15),ISNUMBER(H15)),H15-G15,"")</x:f>
        <x:v>332</x:v>
      </x:c>
      <x:c r="J15" s="157" t="str">
        <x:f>IF(AND(ISNUMBER(G15),ISNUMBER(H15),G15&lt;&gt;0),(H15-G15)/ABS(G15),"")</x:f>
      </x:c>
    </x:row>
    <x:row r="16">
      <x:c r="A16" s="30" t="str">
        <x:v>Armor</x:v>
      </x:c>
      <x:c r="B16" s="30" t="str">
        <x:v>Arms</x:v>
      </x:c>
      <x:c r="C16" s="29" t="str">
        <x:v>52070300</x:v>
      </x:c>
      <x:c r="D16" s="30" t="str">
        <x:v>AC-3000 WRECKER</x:v>
      </x:c>
      <x:c r="E16" s="30" t="str">
        <x:v>Recoil Control</x:v>
      </x:c>
      <x:c r="F16" s="30" t="str">
        <x:v>recoilCtrl</x:v>
      </x:c>
      <x:c r="G16" s="30" t="n">
        <x:v>232</x:v>
      </x:c>
      <x:c r="H16" s="30" t="n">
        <x:v>345</x:v>
      </x:c>
      <x:c r="I16" s="30" t="n">
        <x:f>IF(AND(ISNUMBER(G16),ISNUMBER(H16)),H16-G16,"")</x:f>
        <x:v>113</x:v>
      </x:c>
      <x:c r="J16" s="157" t="n">
        <x:f>IF(AND(ISNUMBER(G16),ISNUMBER(H16),G16&lt;&gt;0),(H16-G16)/ABS(G16),"")</x:f>
        <x:v>0.4870689655172414</x:v>
      </x:c>
    </x:row>
    <x:row r="17">
      <x:c r="A17" s="30" t="str">
        <x:v>Armor</x:v>
      </x:c>
      <x:c r="B17" s="30" t="str">
        <x:v>Arms</x:v>
      </x:c>
      <x:c r="C17" s="29" t="str">
        <x:v>52000000</x:v>
      </x:c>
      <x:c r="D17" s="30" t="str">
        <x:v>AR-011 MELANDER</x:v>
      </x:c>
      <x:c r="E17" s="30" t="str">
        <x:v>Attitude Stability</x:v>
      </x:c>
      <x:c r="F17" s="30" t="str">
        <x:v>stability</x:v>
      </x:c>
      <x:c r="G17" s="30" t="n">
        <x:v>0</x:v>
      </x:c>
      <x:c r="H17" s="30" t="n">
        <x:v>243</x:v>
      </x:c>
      <x:c r="I17" s="30" t="n">
        <x:f>IF(AND(ISNUMBER(G17),ISNUMBER(H17)),H17-G17,"")</x:f>
        <x:v>243</x:v>
      </x:c>
      <x:c r="J17" s="157" t="str">
        <x:f>IF(AND(ISNUMBER(G17),ISNUMBER(H17),G17&lt;&gt;0),(H17-G17)/ABS(G17),"")</x:f>
      </x:c>
    </x:row>
    <x:row r="18">
      <x:c r="A18" s="30" t="str">
        <x:v>Armor</x:v>
      </x:c>
      <x:c r="B18" s="30" t="str">
        <x:v>Arms</x:v>
      </x:c>
      <x:c r="C18" s="29" t="str">
        <x:v>52000300</x:v>
      </x:c>
      <x:c r="D18" s="30" t="str">
        <x:v>AR-012 MELANDER C3</x:v>
      </x:c>
      <x:c r="E18" s="30" t="str">
        <x:v>Attitude Stability</x:v>
      </x:c>
      <x:c r="F18" s="30" t="str">
        <x:v>stability</x:v>
      </x:c>
      <x:c r="G18" s="30" t="n">
        <x:v>0</x:v>
      </x:c>
      <x:c r="H18" s="30" t="n">
        <x:v>250</x:v>
      </x:c>
      <x:c r="I18" s="30" t="n">
        <x:f>IF(AND(ISNUMBER(G18),ISNUMBER(H18)),H18-G18,"")</x:f>
        <x:v>250</x:v>
      </x:c>
      <x:c r="J18" s="157" t="str">
        <x:f>IF(AND(ISNUMBER(G18),ISNUMBER(H18),G18&lt;&gt;0),(H18-G18)/ABS(G18),"")</x:f>
      </x:c>
    </x:row>
    <x:row r="19">
      <x:c r="A19" s="30" t="str">
        <x:v>Armor</x:v>
      </x:c>
      <x:c r="B19" s="30" t="str">
        <x:v>Arms</x:v>
      </x:c>
      <x:c r="C19" s="29" t="str">
        <x:v>52000100</x:v>
      </x:c>
      <x:c r="D19" s="30" t="str">
        <x:v>AS-5000 SALAD</x:v>
      </x:c>
      <x:c r="E19" s="30" t="str">
        <x:v>Attitude Stability</x:v>
      </x:c>
      <x:c r="F19" s="30" t="str">
        <x:v>stability</x:v>
      </x:c>
      <x:c r="G19" s="30" t="n">
        <x:v>0</x:v>
      </x:c>
      <x:c r="H19" s="30" t="n">
        <x:v>287</x:v>
      </x:c>
      <x:c r="I19" s="30" t="n">
        <x:f>IF(AND(ISNUMBER(G19),ISNUMBER(H19)),H19-G19,"")</x:f>
        <x:v>287</x:v>
      </x:c>
      <x:c r="J19" s="157" t="str">
        <x:f>IF(AND(ISNUMBER(G19),ISNUMBER(H19),G19&lt;&gt;0),(H19-G19)/ABS(G19),"")</x:f>
      </x:c>
    </x:row>
    <x:row r="20">
      <x:c r="A20" s="30" t="str">
        <x:v>Armor</x:v>
      </x:c>
      <x:c r="B20" s="30" t="str">
        <x:v>Arms</x:v>
      </x:c>
      <x:c r="C20" s="29" t="str">
        <x:v>52010000</x:v>
      </x:c>
      <x:c r="D20" s="30" t="str">
        <x:v>DF-AR-08 TIAN-QIANG</x:v>
      </x:c>
      <x:c r="E20" s="30" t="str">
        <x:v>Attitude Stability</x:v>
      </x:c>
      <x:c r="F20" s="30" t="str">
        <x:v>stability</x:v>
      </x:c>
      <x:c r="G20" s="30" t="n">
        <x:v>0</x:v>
      </x:c>
      <x:c r="H20" s="30" t="n">
        <x:v>336</x:v>
      </x:c>
      <x:c r="I20" s="30" t="n">
        <x:f>IF(AND(ISNUMBER(G20),ISNUMBER(H20)),H20-G20,"")</x:f>
        <x:v>336</x:v>
      </x:c>
      <x:c r="J20" s="157" t="str">
        <x:f>IF(AND(ISNUMBER(G20),ISNUMBER(H20),G20&lt;&gt;0),(H20-G20)/ABS(G20),"")</x:f>
      </x:c>
    </x:row>
    <x:row r="21">
      <x:c r="A21" s="30" t="str">
        <x:v>Armor</x:v>
      </x:c>
      <x:c r="B21" s="30" t="str">
        <x:v>Arms</x:v>
      </x:c>
      <x:c r="C21" s="29" t="str">
        <x:v>52010100</x:v>
      </x:c>
      <x:c r="D21" s="30" t="str">
        <x:v>DF-AR-09 TIAN-LAO</x:v>
      </x:c>
      <x:c r="E21" s="30" t="str">
        <x:v>Attitude Stability</x:v>
      </x:c>
      <x:c r="F21" s="30" t="str">
        <x:v>stability</x:v>
      </x:c>
      <x:c r="G21" s="30" t="n">
        <x:v>0</x:v>
      </x:c>
      <x:c r="H21" s="30" t="n">
        <x:v>378</x:v>
      </x:c>
      <x:c r="I21" s="30" t="n">
        <x:f>IF(AND(ISNUMBER(G21),ISNUMBER(H21)),H21-G21,"")</x:f>
        <x:v>378</x:v>
      </x:c>
      <x:c r="J21" s="157" t="str">
        <x:f>IF(AND(ISNUMBER(G21),ISNUMBER(H21),G21&lt;&gt;0),(H21-G21)/ABS(G21),"")</x:f>
      </x:c>
    </x:row>
    <x:row r="22">
      <x:c r="A22" s="30" t="str">
        <x:v>Armor</x:v>
      </x:c>
      <x:c r="B22" s="30" t="str">
        <x:v>Arms</x:v>
      </x:c>
      <x:c r="C22" s="29" t="str">
        <x:v>52080200</x:v>
      </x:c>
      <x:c r="D22" s="30" t="str">
        <x:v>EL-PA-00 ALBA</x:v>
      </x:c>
      <x:c r="E22" s="30" t="str">
        <x:v>Attitude Stability</x:v>
      </x:c>
      <x:c r="F22" s="30" t="str">
        <x:v>stability</x:v>
      </x:c>
      <x:c r="G22" s="30" t="n">
        <x:v>0</x:v>
      </x:c>
      <x:c r="H22" s="30" t="n">
        <x:v>221</x:v>
      </x:c>
      <x:c r="I22" s="30" t="n">
        <x:f>IF(AND(ISNUMBER(G22),ISNUMBER(H22)),H22-G22,"")</x:f>
        <x:v>221</x:v>
      </x:c>
      <x:c r="J22" s="157" t="str">
        <x:f>IF(AND(ISNUMBER(G22),ISNUMBER(H22),G22&lt;&gt;0),(H22-G22)/ABS(G22),"")</x:f>
      </x:c>
    </x:row>
    <x:row r="23">
      <x:c r="A23" s="30" t="str">
        <x:v>Armor</x:v>
      </x:c>
      <x:c r="B23" s="30" t="str">
        <x:v>Arms</x:v>
      </x:c>
      <x:c r="C23" s="29" t="str">
        <x:v>52060000</x:v>
      </x:c>
      <x:c r="D23" s="30" t="str">
        <x:v>EL-TA-10 FIRMEZA</x:v>
      </x:c>
      <x:c r="E23" s="30" t="str">
        <x:v>Attitude Stability</x:v>
      </x:c>
      <x:c r="F23" s="30" t="str">
        <x:v>stability</x:v>
      </x:c>
      <x:c r="G23" s="30" t="n">
        <x:v>0</x:v>
      </x:c>
      <x:c r="H23" s="30" t="n">
        <x:v>280</x:v>
      </x:c>
      <x:c r="I23" s="30" t="n">
        <x:f>IF(AND(ISNUMBER(G23),ISNUMBER(H23)),H23-G23,"")</x:f>
        <x:v>280</x:v>
      </x:c>
      <x:c r="J23" s="157" t="str">
        <x:f>IF(AND(ISNUMBER(G23),ISNUMBER(H23),G23&lt;&gt;0),(H23-G23)/ABS(G23),"")</x:f>
      </x:c>
    </x:row>
    <x:row r="24">
      <x:c r="A24" s="30" t="str">
        <x:v>Armor</x:v>
      </x:c>
      <x:c r="B24" s="30" t="str">
        <x:v>Arms</x:v>
      </x:c>
      <x:c r="C24" s="29" t="str">
        <x:v>52080100</x:v>
      </x:c>
      <x:c r="D24" s="30" t="str">
        <x:v>IA-C01A: EPHEMERA</x:v>
      </x:c>
      <x:c r="E24" s="30" t="str">
        <x:v>Attitude Stability</x:v>
      </x:c>
      <x:c r="F24" s="30" t="str">
        <x:v>stability</x:v>
      </x:c>
      <x:c r="G24" s="30" t="n">
        <x:v>0</x:v>
      </x:c>
      <x:c r="H24" s="30" t="n">
        <x:v>282</x:v>
      </x:c>
      <x:c r="I24" s="30" t="n">
        <x:f>IF(AND(ISNUMBER(G24),ISNUMBER(H24)),H24-G24,"")</x:f>
        <x:v>282</x:v>
      </x:c>
      <x:c r="J24" s="157" t="str">
        <x:f>IF(AND(ISNUMBER(G24),ISNUMBER(H24),G24&lt;&gt;0),(H24-G24)/ABS(G24),"")</x:f>
      </x:c>
    </x:row>
    <x:row r="25">
      <x:c r="A25" s="30" t="str">
        <x:v>Armor</x:v>
      </x:c>
      <x:c r="B25" s="30" t="str">
        <x:v>Arms</x:v>
      </x:c>
      <x:c r="C25" s="29" t="str">
        <x:v>52080000</x:v>
      </x:c>
      <x:c r="D25" s="30" t="str">
        <x:v>IB-C03A: HAL 826</x:v>
      </x:c>
      <x:c r="E25" s="30" t="str">
        <x:v>Attitude Stability</x:v>
      </x:c>
      <x:c r="F25" s="30" t="str">
        <x:v>stability</x:v>
      </x:c>
      <x:c r="G25" s="30" t="n">
        <x:v>0</x:v>
      </x:c>
      <x:c r="H25" s="30" t="n">
        <x:v>270</x:v>
      </x:c>
      <x:c r="I25" s="30" t="n">
        <x:f>IF(AND(ISNUMBER(G25),ISNUMBER(H25)),H25-G25,"")</x:f>
        <x:v>270</x:v>
      </x:c>
      <x:c r="J25" s="157" t="str">
        <x:f>IF(AND(ISNUMBER(G25),ISNUMBER(H25),G25&lt;&gt;0),(H25-G25)/ABS(G25),"")</x:f>
      </x:c>
    </x:row>
    <x:row r="26">
      <x:c r="A26" s="30" t="str">
        <x:v>Armor</x:v>
      </x:c>
      <x:c r="B26" s="30" t="str">
        <x:v>Arms</x:v>
      </x:c>
      <x:c r="C26" s="29" t="str">
        <x:v>52080300</x:v>
      </x:c>
      <x:c r="D26" s="30" t="str">
        <x:v>LAMMERGEIER/46F</x:v>
      </x:c>
      <x:c r="E26" s="30" t="str">
        <x:v>Attitude Stability</x:v>
      </x:c>
      <x:c r="F26" s="30" t="str">
        <x:v>stability</x:v>
      </x:c>
      <x:c r="G26" s="30" t="n">
        <x:v>0</x:v>
      </x:c>
      <x:c r="H26" s="30" t="n">
        <x:v>229</x:v>
      </x:c>
      <x:c r="I26" s="30" t="n">
        <x:f>IF(AND(ISNUMBER(G26),ISNUMBER(H26)),H26-G26,"")</x:f>
        <x:v>229</x:v>
      </x:c>
      <x:c r="J26" s="157" t="str">
        <x:f>IF(AND(ISNUMBER(G26),ISNUMBER(H26),G26&lt;&gt;0),(H26-G26)/ABS(G26),"")</x:f>
      </x:c>
    </x:row>
    <x:row r="27">
      <x:c r="A27" s="30" t="str">
        <x:v>Armor</x:v>
      </x:c>
      <x:c r="B27" s="30" t="str">
        <x:v>Arms</x:v>
      </x:c>
      <x:c r="C27" s="29" t="str">
        <x:v>52020000</x:v>
      </x:c>
      <x:c r="D27" s="30" t="str">
        <x:v>NACHTREIHER/46E</x:v>
      </x:c>
      <x:c r="E27" s="30" t="str">
        <x:v>Arms Load Limit</x:v>
      </x:c>
      <x:c r="F27" s="30" t="str">
        <x:v>armMaxWeight</x:v>
      </x:c>
      <x:c r="G27" s="30" t="n">
        <x:v>12730</x:v>
      </x:c>
      <x:c r="H27" s="30" t="n">
        <x:v>13870</x:v>
      </x:c>
      <x:c r="I27" s="30" t="n">
        <x:f>IF(AND(ISNUMBER(G27),ISNUMBER(H27)),H27-G27,"")</x:f>
        <x:v>1140</x:v>
      </x:c>
      <x:c r="J27" s="157" t="n">
        <x:f>IF(AND(ISNUMBER(G27),ISNUMBER(H27),G27&lt;&gt;0),(H27-G27)/ABS(G27),"")</x:f>
        <x:v>0.08955223880597014</x:v>
      </x:c>
    </x:row>
    <x:row r="28">
      <x:c r="A28" s="30" t="str">
        <x:v>Armor</x:v>
      </x:c>
      <x:c r="B28" s="30" t="str">
        <x:v>Arms</x:v>
      </x:c>
      <x:c r="C28" s="29" t="str">
        <x:v>52020000</x:v>
      </x:c>
      <x:c r="D28" s="30" t="str">
        <x:v>NACHTREIHER/46E</x:v>
      </x:c>
      <x:c r="E28" s="30" t="str">
        <x:v>Attitude Stability</x:v>
      </x:c>
      <x:c r="F28" s="30" t="str">
        <x:v>stability</x:v>
      </x:c>
      <x:c r="G28" s="30" t="n">
        <x:v>0</x:v>
      </x:c>
      <x:c r="H28" s="30" t="n">
        <x:v>199</x:v>
      </x:c>
      <x:c r="I28" s="30" t="n">
        <x:f>IF(AND(ISNUMBER(G28),ISNUMBER(H28)),H28-G28,"")</x:f>
        <x:v>199</x:v>
      </x:c>
      <x:c r="J28" s="157" t="str">
        <x:f>IF(AND(ISNUMBER(G28),ISNUMBER(H28),G28&lt;&gt;0),(H28-G28)/ABS(G28),"")</x:f>
      </x:c>
    </x:row>
    <x:row r="29">
      <x:c r="A29" s="30" t="str">
        <x:v>Armor</x:v>
      </x:c>
      <x:c r="B29" s="30" t="str">
        <x:v>Arms</x:v>
      </x:c>
      <x:c r="C29" s="29" t="str">
        <x:v>52020000</x:v>
      </x:c>
      <x:c r="D29" s="30" t="str">
        <x:v>NACHTREIHER/46E</x:v>
      </x:c>
      <x:c r="E29" s="30" t="str">
        <x:v>Recoil Control</x:v>
      </x:c>
      <x:c r="F29" s="30" t="str">
        <x:v>recoilCtrl</x:v>
      </x:c>
      <x:c r="G29" s="30" t="n">
        <x:v>87</x:v>
      </x:c>
      <x:c r="H29" s="30" t="n">
        <x:v>119</x:v>
      </x:c>
      <x:c r="I29" s="30" t="n">
        <x:f>IF(AND(ISNUMBER(G29),ISNUMBER(H29)),H29-G29,"")</x:f>
        <x:v>32</x:v>
      </x:c>
      <x:c r="J29" s="157" t="n">
        <x:f>IF(AND(ISNUMBER(G29),ISNUMBER(H29),G29&lt;&gt;0),(H29-G29)/ABS(G29),"")</x:f>
        <x:v>0.367816091954023</x:v>
      </x:c>
    </x:row>
    <x:row r="30">
      <x:c r="A30" s="30" t="str">
        <x:v>Armor</x:v>
      </x:c>
      <x:c r="B30" s="30" t="str">
        <x:v>Arms</x:v>
      </x:c>
      <x:c r="C30" s="29" t="str">
        <x:v>52040000</x:v>
      </x:c>
      <x:c r="D30" s="30" t="str">
        <x:v>VE-46A</x:v>
      </x:c>
      <x:c r="E30" s="30" t="str">
        <x:v>Attitude Stability</x:v>
      </x:c>
      <x:c r="F30" s="30" t="str">
        <x:v>stability</x:v>
      </x:c>
      <x:c r="G30" s="30" t="n">
        <x:v>0</x:v>
      </x:c>
      <x:c r="H30" s="30" t="n">
        <x:v>391</x:v>
      </x:c>
      <x:c r="I30" s="30" t="n">
        <x:f>IF(AND(ISNUMBER(G30),ISNUMBER(H30)),H30-G30,"")</x:f>
        <x:v>391</x:v>
      </x:c>
      <x:c r="J30" s="157" t="str">
        <x:f>IF(AND(ISNUMBER(G30),ISNUMBER(H30),G30&lt;&gt;0),(H30-G30)/ABS(G30),"")</x:f>
      </x:c>
    </x:row>
    <x:row r="31">
      <x:c r="A31" s="30" t="str">
        <x:v>Armor</x:v>
      </x:c>
      <x:c r="B31" s="30" t="str">
        <x:v>Arms</x:v>
      </x:c>
      <x:c r="C31" s="29" t="str">
        <x:v>52030100</x:v>
      </x:c>
      <x:c r="D31" s="30" t="str">
        <x:v>VP-46D</x:v>
      </x:c>
      <x:c r="E31" s="30" t="str">
        <x:v>Attitude Stability</x:v>
      </x:c>
      <x:c r="F31" s="30" t="str">
        <x:v>stability</x:v>
      </x:c>
      <x:c r="G31" s="30" t="n">
        <x:v>0</x:v>
      </x:c>
      <x:c r="H31" s="30" t="n">
        <x:v>281</x:v>
      </x:c>
      <x:c r="I31" s="30" t="n">
        <x:f>IF(AND(ISNUMBER(G31),ISNUMBER(H31)),H31-G31,"")</x:f>
        <x:v>281</x:v>
      </x:c>
      <x:c r="J31" s="157" t="str">
        <x:f>IF(AND(ISNUMBER(G31),ISNUMBER(H31),G31&lt;&gt;0),(H31-G31)/ABS(G31),"")</x:f>
      </x:c>
    </x:row>
    <x:row r="32">
      <x:c r="A32" s="30" t="str">
        <x:v>Armor</x:v>
      </x:c>
      <x:c r="B32" s="30" t="str">
        <x:v>Arms</x:v>
      </x:c>
      <x:c r="C32" s="29" t="str">
        <x:v>52030000</x:v>
      </x:c>
      <x:c r="D32" s="30" t="str">
        <x:v>VP-46S</x:v>
      </x:c>
      <x:c r="E32" s="30" t="str">
        <x:v>Attitude Stability</x:v>
      </x:c>
      <x:c r="F32" s="30" t="str">
        <x:v>stability</x:v>
      </x:c>
      <x:c r="G32" s="30" t="n">
        <x:v>0</x:v>
      </x:c>
      <x:c r="H32" s="30" t="n">
        <x:v>244</x:v>
      </x:c>
      <x:c r="I32" s="30" t="n">
        <x:f>IF(AND(ISNUMBER(G32),ISNUMBER(H32)),H32-G32,"")</x:f>
        <x:v>244</x:v>
      </x:c>
      <x:c r="J32" s="157" t="str">
        <x:f>IF(AND(ISNUMBER(G32),ISNUMBER(H32),G32&lt;&gt;0),(H32-G32)/ABS(G32),"")</x:f>
      </x:c>
    </x:row>
    <x:row r="33">
      <x:c r="A33" s="30" t="str">
        <x:v>Armor</x:v>
      </x:c>
      <x:c r="B33" s="30" t="str">
        <x:v>Core</x:v>
      </x:c>
      <x:c r="C33" s="29" t="str">
        <x:v>51900000</x:v>
      </x:c>
      <x:c r="D33" s="30" t="str">
        <x:v>AC-J-120/RC JAILBREAK</x:v>
      </x:c>
      <x:c r="E33" s="30" t="str">
        <x:v>AP</x:v>
      </x:c>
      <x:c r="F33" s="30" t="str">
        <x:v>ap</x:v>
      </x:c>
      <x:c r="G33" s="30" t="n">
        <x:v>2400</x:v>
      </x:c>
      <x:c r="H33" s="30" t="n">
        <x:v>2600</x:v>
      </x:c>
      <x:c r="I33" s="30" t="n">
        <x:f>IF(AND(ISNUMBER(G33),ISNUMBER(H33)),H33-G33,"")</x:f>
        <x:v>200</x:v>
      </x:c>
      <x:c r="J33" s="157" t="n">
        <x:f>IF(AND(ISNUMBER(G33),ISNUMBER(H33),G33&lt;&gt;0),(H33-G33)/ABS(G33),"")</x:f>
        <x:v>0.08333333333333333</x:v>
      </x:c>
    </x:row>
    <x:row r="34">
      <x:c r="A34" s="30" t="str">
        <x:v>Armor</x:v>
      </x:c>
      <x:c r="B34" s="30" t="str">
        <x:v>Core</x:v>
      </x:c>
      <x:c r="C34" s="29" t="str">
        <x:v>51900000</x:v>
      </x:c>
      <x:c r="D34" s="30" t="str">
        <x:v>AC-J-120/RC JAILBREAK</x:v>
      </x:c>
      <x:c r="E34" s="30" t="str">
        <x:v>Booster Efficiency Adj.</x:v>
      </x:c>
      <x:c r="F34" s="30" t="str">
        <x:v>quickBoosterOutputCorrRate</x:v>
      </x:c>
      <x:c r="G34" s="30" t="n">
        <x:v>119</x:v>
      </x:c>
      <x:c r="H34" s="30" t="n">
        <x:v>100</x:v>
      </x:c>
      <x:c r="I34" s="30" t="n">
        <x:f>IF(AND(ISNUMBER(G34),ISNUMBER(H34)),H34-G34,"")</x:f>
        <x:v>-19</x:v>
      </x:c>
      <x:c r="J34" s="157" t="n">
        <x:f>IF(AND(ISNUMBER(G34),ISNUMBER(H34),G34&lt;&gt;0),(H34-G34)/ABS(G34),"")</x:f>
        <x:v>-0.15966386554621848</x:v>
      </x:c>
    </x:row>
    <x:row r="35">
      <x:c r="A35" s="30" t="str">
        <x:v>Armor</x:v>
      </x:c>
      <x:c r="B35" s="30" t="str">
        <x:v>Core</x:v>
      </x:c>
      <x:c r="C35" s="29" t="str">
        <x:v>51900000</x:v>
      </x:c>
      <x:c r="D35" s="30" t="str">
        <x:v>AC-J-120/RC JAILBREAK</x:v>
      </x:c>
      <x:c r="E35" s="30" t="str">
        <x:v>Generator Supply Adj.</x:v>
      </x:c>
      <x:c r="F35" s="30" t="str">
        <x:v>generatorCoolPerf</x:v>
      </x:c>
      <x:c r="G35" s="30" t="n">
        <x:v>94</x:v>
      </x:c>
      <x:c r="H35" s="30" t="n">
        <x:v>82</x:v>
      </x:c>
      <x:c r="I35" s="30" t="n">
        <x:f>IF(AND(ISNUMBER(G35),ISNUMBER(H35)),H35-G35,"")</x:f>
        <x:v>-12</x:v>
      </x:c>
      <x:c r="J35" s="157" t="n">
        <x:f>IF(AND(ISNUMBER(G35),ISNUMBER(H35),G35&lt;&gt;0),(H35-G35)/ABS(G35),"")</x:f>
        <x:v>-0.1276595744680851</x:v>
      </x:c>
    </x:row>
    <x:row r="36">
      <x:c r="A36" s="30" t="str">
        <x:v>Armor</x:v>
      </x:c>
      <x:c r="B36" s="30" t="str">
        <x:v>Core</x:v>
      </x:c>
      <x:c r="C36" s="29" t="str">
        <x:v>51900000</x:v>
      </x:c>
      <x:c r="D36" s="30" t="str">
        <x:v>AC-J-120/RC JAILBREAK</x:v>
      </x:c>
      <x:c r="E36" s="30" t="str">
        <x:v>Weight</x:v>
      </x:c>
      <x:c r="F36" s="30" t="str">
        <x:v>weight</x:v>
      </x:c>
      <x:c r="G36" s="30" t="n">
        <x:v>12350</x:v>
      </x:c>
      <x:c r="H36" s="30" t="n">
        <x:v>17850</x:v>
      </x:c>
      <x:c r="I36" s="30" t="n">
        <x:f>IF(AND(ISNUMBER(G36),ISNUMBER(H36)),H36-G36,"")</x:f>
        <x:v>5500</x:v>
      </x:c>
      <x:c r="J36" s="157" t="n">
        <x:f>IF(AND(ISNUMBER(G36),ISNUMBER(H36),G36&lt;&gt;0),(H36-G36)/ABS(G36),"")</x:f>
        <x:v>0.44534412955465585</x:v>
      </x:c>
    </x:row>
    <x:row r="37">
      <x:c r="A37" s="30" t="str">
        <x:v>Armor</x:v>
      </x:c>
      <x:c r="B37" s="30" t="str">
        <x:v>Core</x:v>
      </x:c>
      <x:c r="C37" s="29" t="str">
        <x:v>51070400</x:v>
      </x:c>
      <x:c r="D37" s="30" t="str">
        <x:v>CC-2000 ORBITER</x:v>
      </x:c>
      <x:c r="E37" s="30" t="str">
        <x:v>AP</x:v>
      </x:c>
      <x:c r="F37" s="30" t="str">
        <x:v>ap</x:v>
      </x:c>
      <x:c r="G37" s="30" t="n">
        <x:v>2780</x:v>
      </x:c>
      <x:c r="H37" s="30" t="n">
        <x:v>2900</x:v>
      </x:c>
      <x:c r="I37" s="30" t="n">
        <x:f>IF(AND(ISNUMBER(G37),ISNUMBER(H37)),H37-G37,"")</x:f>
        <x:v>120</x:v>
      </x:c>
      <x:c r="J37" s="157" t="n">
        <x:f>IF(AND(ISNUMBER(G37),ISNUMBER(H37),G37&lt;&gt;0),(H37-G37)/ABS(G37),"")</x:f>
        <x:v>0.04316546762589928</x:v>
      </x:c>
    </x:row>
    <x:row r="38">
      <x:c r="A38" s="30" t="str">
        <x:v>Armor</x:v>
      </x:c>
      <x:c r="B38" s="30" t="str">
        <x:v>Core</x:v>
      </x:c>
      <x:c r="C38" s="29" t="str">
        <x:v>51070400</x:v>
      </x:c>
      <x:c r="D38" s="30" t="str">
        <x:v>CC-2000 ORBITER</x:v>
      </x:c>
      <x:c r="E38" s="30" t="str">
        <x:v>Generator Supply Adj.</x:v>
      </x:c>
      <x:c r="F38" s="30" t="str">
        <x:v>generatorCoolPerf</x:v>
      </x:c>
      <x:c r="G38" s="30" t="n">
        <x:v>93</x:v>
      </x:c>
      <x:c r="H38" s="30" t="n">
        <x:v>99</x:v>
      </x:c>
      <x:c r="I38" s="30" t="n">
        <x:f>IF(AND(ISNUMBER(G38),ISNUMBER(H38)),H38-G38,"")</x:f>
        <x:v>6</x:v>
      </x:c>
      <x:c r="J38" s="157" t="n">
        <x:f>IF(AND(ISNUMBER(G38),ISNUMBER(H38),G38&lt;&gt;0),(H38-G38)/ABS(G38),"")</x:f>
        <x:v>0.06451612903225806</x:v>
      </x:c>
    </x:row>
    <x:row r="39">
      <x:c r="A39" s="30" t="str">
        <x:v>Armor</x:v>
      </x:c>
      <x:c r="B39" s="30" t="str">
        <x:v>Core</x:v>
      </x:c>
      <x:c r="C39" s="29" t="str">
        <x:v>51070300</x:v>
      </x:c>
      <x:c r="D39" s="30" t="str">
        <x:v>CC-3000 WRECKER</x:v>
      </x:c>
      <x:c r="E39" s="30" t="str">
        <x:v>Generator Supply Adj.</x:v>
      </x:c>
      <x:c r="F39" s="30" t="str">
        <x:v>generatorCoolPerf</x:v>
      </x:c>
      <x:c r="G39" s="30" t="n">
        <x:v>100</x:v>
      </x:c>
      <x:c r="H39" s="30" t="n">
        <x:v>107</x:v>
      </x:c>
      <x:c r="I39" s="30" t="n">
        <x:f>IF(AND(ISNUMBER(G39),ISNUMBER(H39)),H39-G39,"")</x:f>
        <x:v>7</x:v>
      </x:c>
      <x:c r="J39" s="157" t="n">
        <x:f>IF(AND(ISNUMBER(G39),ISNUMBER(H39),G39&lt;&gt;0),(H39-G39)/ABS(G39),"")</x:f>
        <x:v>0.07</x:v>
      </x:c>
    </x:row>
    <x:row r="40">
      <x:c r="A40" s="30" t="str">
        <x:v>Armor</x:v>
      </x:c>
      <x:c r="B40" s="30" t="str">
        <x:v>Head</x:v>
      </x:c>
      <x:c r="C40" s="29" t="str">
        <x:v>50900000</x:v>
      </x:c>
      <x:c r="D40" s="30" t="str">
        <x:v>AH-J-124/RC JAILBREAK</x:v>
      </x:c>
      <x:c r="E40" s="30" t="str">
        <x:v>EN Load</x:v>
      </x:c>
      <x:c r="F40" s="30" t="str">
        <x:v>consumeEN</x:v>
      </x:c>
      <x:c r="G40" s="30" t="n">
        <x:v>95</x:v>
      </x:c>
      <x:c r="H40" s="30" t="n">
        <x:v>162</x:v>
      </x:c>
      <x:c r="I40" s="30" t="n">
        <x:f>IF(AND(ISNUMBER(G40),ISNUMBER(H40)),H40-G40,"")</x:f>
        <x:v>67</x:v>
      </x:c>
      <x:c r="J40" s="157" t="n">
        <x:f>IF(AND(ISNUMBER(G40),ISNUMBER(H40),G40&lt;&gt;0),(H40-G40)/ABS(G40),"")</x:f>
        <x:v>0.7052631578947368</x:v>
      </x:c>
    </x:row>
    <x:row r="41">
      <x:c r="A41" s="30" t="str">
        <x:v>Armor</x:v>
      </x:c>
      <x:c r="B41" s="30" t="str">
        <x:v>Head</x:v>
      </x:c>
      <x:c r="C41" s="29" t="str">
        <x:v>50900000</x:v>
      </x:c>
      <x:c r="D41" s="30" t="str">
        <x:v>AH-J-124/RC JAILBREAK</x:v>
      </x:c>
      <x:c r="E41" s="30" t="str">
        <x:v>Explosive Defense</x:v>
      </x:c>
      <x:c r="F41" s="30" t="str">
        <x:v>ProCutRate_Fire</x:v>
      </x:c>
      <x:c r="G41" s="30" t="n">
        <x:v>3.2</x:v>
      </x:c>
      <x:c r="H41" s="30" t="n">
        <x:v>1.9</x:v>
      </x:c>
      <x:c r="I41" s="30" t="n">
        <x:f>IF(AND(ISNUMBER(G41),ISNUMBER(H41)),H41-G41,"")</x:f>
        <x:v>-1.3000000000000003</x:v>
      </x:c>
      <x:c r="J41" s="157" t="n">
        <x:f>IF(AND(ISNUMBER(G41),ISNUMBER(H41),G41&lt;&gt;0),(H41-G41)/ABS(G41),"")</x:f>
        <x:v>-0.40625000000000006</x:v>
      </x:c>
    </x:row>
    <x:row r="42">
      <x:c r="A42" s="30" t="str">
        <x:v>Armor</x:v>
      </x:c>
      <x:c r="B42" s="30" t="str">
        <x:v>Head</x:v>
      </x:c>
      <x:c r="C42" s="29" t="str">
        <x:v>50900000</x:v>
      </x:c>
      <x:c r="D42" s="30" t="str">
        <x:v>AH-J-124/RC JAILBREAK</x:v>
      </x:c>
      <x:c r="E42" s="30" t="str">
        <x:v>Scan Distance</x:v>
      </x:c>
      <x:c r="F42" s="30" t="str">
        <x:v>scanDist</x:v>
      </x:c>
      <x:c r="G42" s="30" t="n">
        <x:v>400</x:v>
      </x:c>
      <x:c r="H42" s="30" t="n">
        <x:v>220</x:v>
      </x:c>
      <x:c r="I42" s="30" t="n">
        <x:f>IF(AND(ISNUMBER(G42),ISNUMBER(H42)),H42-G42,"")</x:f>
        <x:v>-180</x:v>
      </x:c>
      <x:c r="J42" s="157" t="n">
        <x:f>IF(AND(ISNUMBER(G42),ISNUMBER(H42),G42&lt;&gt;0),(H42-G42)/ABS(G42),"")</x:f>
        <x:v>-0.45</x:v>
      </x:c>
    </x:row>
    <x:row r="43">
      <x:c r="A43" s="30" t="str">
        <x:v>Armor</x:v>
      </x:c>
      <x:c r="B43" s="30" t="str">
        <x:v>Head</x:v>
      </x:c>
      <x:c r="C43" s="29" t="str">
        <x:v>50900000</x:v>
      </x:c>
      <x:c r="D43" s="30" t="str">
        <x:v>AH-J-124/RC JAILBREAK</x:v>
      </x:c>
      <x:c r="E43" s="30" t="str">
        <x:v>Scan Duration</x:v>
      </x:c>
      <x:c r="F43" s="30" t="str">
        <x:v>scanTime</x:v>
      </x:c>
      <x:c r="G43" s="30" t="n">
        <x:v>6</x:v>
      </x:c>
      <x:c r="H43" s="30" t="n">
        <x:v>3.8</x:v>
      </x:c>
      <x:c r="I43" s="30" t="n">
        <x:f>IF(AND(ISNUMBER(G43),ISNUMBER(H43)),H43-G43,"")</x:f>
        <x:v>-2.2</x:v>
      </x:c>
      <x:c r="J43" s="157" t="n">
        <x:f>IF(AND(ISNUMBER(G43),ISNUMBER(H43),G43&lt;&gt;0),(H43-G43)/ABS(G43),"")</x:f>
        <x:v>-0.3666666666666667</x:v>
      </x:c>
    </x:row>
    <x:row r="44">
      <x:c r="A44" s="30" t="str">
        <x:v>Armor</x:v>
      </x:c>
      <x:c r="B44" s="30" t="str">
        <x:v>Head</x:v>
      </x:c>
      <x:c r="C44" s="29" t="str">
        <x:v>50900000</x:v>
      </x:c>
      <x:c r="D44" s="30" t="str">
        <x:v>AH-J-124/RC JAILBREAK</x:v>
      </x:c>
      <x:c r="E44" s="30" t="str">
        <x:v>Weight</x:v>
      </x:c>
      <x:c r="F44" s="30" t="str">
        <x:v>weight</x:v>
      </x:c>
      <x:c r="G44" s="30" t="n">
        <x:v>4250</x:v>
      </x:c>
      <x:c r="H44" s="30" t="n">
        <x:v>4850</x:v>
      </x:c>
      <x:c r="I44" s="30" t="n">
        <x:f>IF(AND(ISNUMBER(G44),ISNUMBER(H44)),H44-G44,"")</x:f>
        <x:v>600</x:v>
      </x:c>
      <x:c r="J44" s="157" t="n">
        <x:f>IF(AND(ISNUMBER(G44),ISNUMBER(H44),G44&lt;&gt;0),(H44-G44)/ABS(G44),"")</x:f>
        <x:v>0.1411764705882353</x:v>
      </x:c>
    </x:row>
    <x:row r="45">
      <x:c r="A45" s="30" t="str">
        <x:v>Armor</x:v>
      </x:c>
      <x:c r="B45" s="30" t="str">
        <x:v>Head</x:v>
      </x:c>
      <x:c r="C45" s="29" t="str">
        <x:v>50010000</x:v>
      </x:c>
      <x:c r="D45" s="30" t="str">
        <x:v>DF-HD-08 TIAN-QIANG</x:v>
      </x:c>
      <x:c r="E45" s="30" t="str">
        <x:v>Attitude Stability</x:v>
      </x:c>
      <x:c r="F45" s="30" t="str">
        <x:v>stability</x:v>
      </x:c>
      <x:c r="G45" s="30" t="n">
        <x:v>267</x:v>
      </x:c>
      <x:c r="H45" s="30" t="n">
        <x:v>333</x:v>
      </x:c>
      <x:c r="I45" s="30" t="n">
        <x:f>IF(AND(ISNUMBER(G45),ISNUMBER(H45)),H45-G45,"")</x:f>
        <x:v>66</x:v>
      </x:c>
      <x:c r="J45" s="157" t="n">
        <x:f>IF(AND(ISNUMBER(G45),ISNUMBER(H45),G45&lt;&gt;0),(H45-G45)/ABS(G45),"")</x:f>
        <x:v>0.24719101123595505</x:v>
      </x:c>
    </x:row>
    <x:row r="46">
      <x:c r="A46" s="30" t="str">
        <x:v>Armor</x:v>
      </x:c>
      <x:c r="B46" s="30" t="str">
        <x:v>Head</x:v>
      </x:c>
      <x:c r="C46" s="29" t="str">
        <x:v>50080200</x:v>
      </x:c>
      <x:c r="D46" s="30" t="str">
        <x:v>EL-PH-00 ALBA</x:v>
      </x:c>
      <x:c r="E46" s="30" t="str">
        <x:v>AP</x:v>
      </x:c>
      <x:c r="F46" s="30" t="str">
        <x:v>ap</x:v>
      </x:c>
      <x:c r="G46" s="30" t="n">
        <x:v>600</x:v>
      </x:c>
      <x:c r="H46" s="30" t="n">
        <x:v>780</x:v>
      </x:c>
      <x:c r="I46" s="30" t="n">
        <x:f>IF(AND(ISNUMBER(G46),ISNUMBER(H46)),H46-G46,"")</x:f>
        <x:v>180</x:v>
      </x:c>
      <x:c r="J46" s="157" t="n">
        <x:f>IF(AND(ISNUMBER(G46),ISNUMBER(H46),G46&lt;&gt;0),(H46-G46)/ABS(G46),"")</x:f>
        <x:v>0.3</x:v>
      </x:c>
    </x:row>
    <x:row r="47">
      <x:c r="A47" s="30" t="str">
        <x:v>Armor</x:v>
      </x:c>
      <x:c r="B47" s="30" t="str">
        <x:v>Head</x:v>
      </x:c>
      <x:c r="C47" s="29" t="str">
        <x:v>50080200</x:v>
      </x:c>
      <x:c r="D47" s="30" t="str">
        <x:v>EL-PH-00 ALBA</x:v>
      </x:c>
      <x:c r="E47" s="30" t="str">
        <x:v>Explosive Defense</x:v>
      </x:c>
      <x:c r="F47" s="30" t="str">
        <x:v>ProCutRate_Fire</x:v>
      </x:c>
      <x:c r="G47" s="30" t="n">
        <x:v>2.1</x:v>
      </x:c>
      <x:c r="H47" s="30" t="n">
        <x:v>2.3</x:v>
      </x:c>
      <x:c r="I47" s="30" t="n">
        <x:f>IF(AND(ISNUMBER(G47),ISNUMBER(H47)),H47-G47,"")</x:f>
        <x:v>0.19999999999999973</x:v>
      </x:c>
      <x:c r="J47" s="157" t="n">
        <x:f>IF(AND(ISNUMBER(G47),ISNUMBER(H47),G47&lt;&gt;0),(H47-G47)/ABS(G47),"")</x:f>
        <x:v>0.09523809523809511</x:v>
      </x:c>
    </x:row>
    <x:row r="48">
      <x:c r="A48" s="30" t="str">
        <x:v>Armor</x:v>
      </x:c>
      <x:c r="B48" s="30" t="str">
        <x:v>Head</x:v>
      </x:c>
      <x:c r="C48" s="29" t="str">
        <x:v>50070400</x:v>
      </x:c>
      <x:c r="D48" s="30" t="str">
        <x:v>HC-2000 FINDER EYE</x:v>
      </x:c>
      <x:c r="E48" s="30" t="str">
        <x:v>Scan Distance</x:v>
      </x:c>
      <x:c r="F48" s="30" t="str">
        <x:v>scanDist</x:v>
      </x:c>
      <x:c r="G48" s="30" t="n">
        <x:v>340</x:v>
      </x:c>
      <x:c r="H48" s="30" t="n">
        <x:v>605</x:v>
      </x:c>
      <x:c r="I48" s="30" t="n">
        <x:f>IF(AND(ISNUMBER(G48),ISNUMBER(H48)),H48-G48,"")</x:f>
        <x:v>265</x:v>
      </x:c>
      <x:c r="J48" s="157" t="n">
        <x:f>IF(AND(ISNUMBER(G48),ISNUMBER(H48),G48&lt;&gt;0),(H48-G48)/ABS(G48),"")</x:f>
        <x:v>0.7794117647058824</x:v>
      </x:c>
    </x:row>
    <x:row r="49">
      <x:c r="A49" s="30" t="str">
        <x:v>Armor</x:v>
      </x:c>
      <x:c r="B49" s="30" t="str">
        <x:v>Head</x:v>
      </x:c>
      <x:c r="C49" s="29" t="str">
        <x:v>50070400</x:v>
      </x:c>
      <x:c r="D49" s="30" t="str">
        <x:v>HC-2000 FINDER EYE</x:v>
      </x:c>
      <x:c r="E49" s="30" t="str">
        <x:v>Scan Duration</x:v>
      </x:c>
      <x:c r="F49" s="30" t="str">
        <x:v>scanTime</x:v>
      </x:c>
      <x:c r="G49" s="30" t="n">
        <x:v>4.2</x:v>
      </x:c>
      <x:c r="H49" s="30" t="n">
        <x:v>6</x:v>
      </x:c>
      <x:c r="I49" s="30" t="n">
        <x:f>IF(AND(ISNUMBER(G49),ISNUMBER(H49)),H49-G49,"")</x:f>
        <x:v>1.7999999999999998</x:v>
      </x:c>
      <x:c r="J49" s="157" t="n">
        <x:f>IF(AND(ISNUMBER(G49),ISNUMBER(H49),G49&lt;&gt;0),(H49-G49)/ABS(G49),"")</x:f>
        <x:v>0.4285714285714285</x:v>
      </x:c>
    </x:row>
    <x:row r="50">
      <x:c r="A50" s="30" t="str">
        <x:v>Armor</x:v>
      </x:c>
      <x:c r="B50" s="30" t="str">
        <x:v>Head</x:v>
      </x:c>
      <x:c r="C50" s="29" t="str">
        <x:v>50070300</x:v>
      </x:c>
      <x:c r="D50" s="30" t="str">
        <x:v>HC-3000 WRECKER</x:v>
      </x:c>
      <x:c r="E50" s="30" t="str">
        <x:v>AP</x:v>
      </x:c>
      <x:c r="F50" s="30" t="str">
        <x:v>ap</x:v>
      </x:c>
      <x:c r="G50" s="30" t="n">
        <x:v>1130</x:v>
      </x:c>
      <x:c r="H50" s="30" t="n">
        <x:v>1195</x:v>
      </x:c>
      <x:c r="I50" s="30" t="n">
        <x:f>IF(AND(ISNUMBER(G50),ISNUMBER(H50)),H50-G50,"")</x:f>
        <x:v>65</x:v>
      </x:c>
      <x:c r="J50" s="157" t="n">
        <x:f>IF(AND(ISNUMBER(G50),ISNUMBER(H50),G50&lt;&gt;0),(H50-G50)/ABS(G50),"")</x:f>
        <x:v>0.05752212389380531</x:v>
      </x:c>
    </x:row>
    <x:row r="51">
      <x:c r="A51" s="30" t="str">
        <x:v>Armor</x:v>
      </x:c>
      <x:c r="B51" s="30" t="str">
        <x:v>Head</x:v>
      </x:c>
      <x:c r="C51" s="29" t="str">
        <x:v>50020100</x:v>
      </x:c>
      <x:c r="D51" s="30" t="str">
        <x:v>KASUAR/44Z</x:v>
      </x:c>
      <x:c r="E51" s="30" t="str">
        <x:v>AP</x:v>
      </x:c>
      <x:c r="F51" s="30" t="str">
        <x:v>ap</x:v>
      </x:c>
      <x:c r="G51" s="30" t="n">
        <x:v>480</x:v>
      </x:c>
      <x:c r="H51" s="30" t="n">
        <x:v>490</x:v>
      </x:c>
      <x:c r="I51" s="30" t="n">
        <x:f>IF(AND(ISNUMBER(G51),ISNUMBER(H51)),H51-G51,"")</x:f>
        <x:v>10</x:v>
      </x:c>
      <x:c r="J51" s="157" t="n">
        <x:f>IF(AND(ISNUMBER(G51),ISNUMBER(H51),G51&lt;&gt;0),(H51-G51)/ABS(G51),"")</x:f>
        <x:v>0.020833333333333332</x:v>
      </x:c>
    </x:row>
    <x:row r="52">
      <x:c r="A52" s="30" t="str">
        <x:v>Armor</x:v>
      </x:c>
      <x:c r="B52" s="30" t="str">
        <x:v>Head</x:v>
      </x:c>
      <x:c r="C52" s="29" t="str">
        <x:v>50080300</x:v>
      </x:c>
      <x:c r="D52" s="30" t="str">
        <x:v>LAMMERGEIER/44F</x:v>
      </x:c>
      <x:c r="E52" s="30" t="str">
        <x:v>Scan Distance</x:v>
      </x:c>
      <x:c r="F52" s="30" t="str">
        <x:v>scanDist</x:v>
      </x:c>
      <x:c r="G52" s="30" t="n">
        <x:v>360</x:v>
      </x:c>
      <x:c r="H52" s="30" t="n">
        <x:v>550</x:v>
      </x:c>
      <x:c r="I52" s="30" t="n">
        <x:f>IF(AND(ISNUMBER(G52),ISNUMBER(H52)),H52-G52,"")</x:f>
        <x:v>190</x:v>
      </x:c>
      <x:c r="J52" s="157" t="n">
        <x:f>IF(AND(ISNUMBER(G52),ISNUMBER(H52),G52&lt;&gt;0),(H52-G52)/ABS(G52),"")</x:f>
        <x:v>0.5277777777777778</x:v>
      </x:c>
    </x:row>
    <x:row r="53">
      <x:c r="A53" s="30" t="str">
        <x:v>Armor</x:v>
      </x:c>
      <x:c r="B53" s="30" t="str">
        <x:v>Head</x:v>
      </x:c>
      <x:c r="C53" s="29" t="str">
        <x:v>50080300</x:v>
      </x:c>
      <x:c r="D53" s="30" t="str">
        <x:v>LAMMERGEIER/44F</x:v>
      </x:c>
      <x:c r="E53" s="30" t="str">
        <x:v>Scan Duration</x:v>
      </x:c>
      <x:c r="F53" s="30" t="str">
        <x:v>scanTime</x:v>
      </x:c>
      <x:c r="G53" s="30" t="n">
        <x:v>6.6</x:v>
      </x:c>
      <x:c r="H53" s="30" t="n">
        <x:v>8.9</x:v>
      </x:c>
      <x:c r="I53" s="30" t="n">
        <x:f>IF(AND(ISNUMBER(G53),ISNUMBER(H53)),H53-G53,"")</x:f>
        <x:v>2.3000000000000007</x:v>
      </x:c>
      <x:c r="J53" s="157" t="n">
        <x:f>IF(AND(ISNUMBER(G53),ISNUMBER(H53),G53&lt;&gt;0),(H53-G53)/ABS(G53),"")</x:f>
        <x:v>0.3484848484848486</x:v>
      </x:c>
    </x:row>
    <x:row r="54">
      <x:c r="A54" s="30" t="str">
        <x:v>Armor</x:v>
      </x:c>
      <x:c r="B54" s="30" t="str">
        <x:v>Legs</x:v>
      </x:c>
      <x:c r="C54" s="29" t="str">
        <x:v>53070400</x:v>
      </x:c>
      <x:c r="D54" s="30" t="str">
        <x:v>2C-2000 CRAWLER</x:v>
      </x:c>
      <x:c r="E54" s="30" t="str">
        <x:v>Load Limit</x:v>
      </x:c>
      <x:c r="F54" s="30" t="str">
        <x:v>legs_payload</x:v>
      </x:c>
      <x:c r="G54" s="30" t="n">
        <x:v>53700</x:v>
      </x:c>
      <x:c r="H54" s="30" t="n">
        <x:v>56900</x:v>
      </x:c>
      <x:c r="I54" s="30" t="n">
        <x:f>IF(AND(ISNUMBER(G54),ISNUMBER(H54)),H54-G54,"")</x:f>
        <x:v>3200</x:v>
      </x:c>
      <x:c r="J54" s="157" t="n">
        <x:f>IF(AND(ISNUMBER(G54),ISNUMBER(H54),G54&lt;&gt;0),(H54-G54)/ABS(G54),"")</x:f>
        <x:v>0.0595903165735568</x:v>
      </x:c>
    </x:row>
    <x:row r="55">
      <x:c r="A55" s="30" t="str">
        <x:v>Armor</x:v>
      </x:c>
      <x:c r="B55" s="30" t="str">
        <x:v>Legs</x:v>
      </x:c>
      <x:c r="C55" s="29" t="str">
        <x:v>53900000</x:v>
      </x:c>
      <x:c r="D55" s="30" t="str">
        <x:v>AL-J-121/RC JAILBREAK</x:v>
      </x:c>
      <x:c r="E55" s="30" t="str">
        <x:v>AP</x:v>
      </x:c>
      <x:c r="F55" s="30" t="str">
        <x:v>ap</x:v>
      </x:c>
      <x:c r="G55" s="30" t="n">
        <x:v>2000</x:v>
      </x:c>
      <x:c r="H55" s="30" t="n">
        <x:v>2460</x:v>
      </x:c>
      <x:c r="I55" s="30" t="n">
        <x:f>IF(AND(ISNUMBER(G55),ISNUMBER(H55)),H55-G55,"")</x:f>
        <x:v>460</x:v>
      </x:c>
      <x:c r="J55" s="157" t="n">
        <x:f>IF(AND(ISNUMBER(G55),ISNUMBER(H55),G55&lt;&gt;0),(H55-G55)/ABS(G55),"")</x:f>
        <x:v>0.23</x:v>
      </x:c>
    </x:row>
    <x:row r="56">
      <x:c r="A56" s="30" t="str">
        <x:v>Armor</x:v>
      </x:c>
      <x:c r="B56" s="30" t="str">
        <x:v>Legs</x:v>
      </x:c>
      <x:c r="C56" s="29" t="str">
        <x:v>53900000</x:v>
      </x:c>
      <x:c r="D56" s="30" t="str">
        <x:v>AL-J-121/RC JAILBREAK</x:v>
      </x:c>
      <x:c r="E56" s="30" t="str">
        <x:v>EN Load</x:v>
      </x:c>
      <x:c r="F56" s="30" t="str">
        <x:v>consumeEN</x:v>
      </x:c>
      <x:c r="G56" s="30" t="n">
        <x:v>300</x:v>
      </x:c>
      <x:c r="H56" s="30" t="n">
        <x:v>342</x:v>
      </x:c>
      <x:c r="I56" s="30" t="n">
        <x:f>IF(AND(ISNUMBER(G56),ISNUMBER(H56)),H56-G56,"")</x:f>
        <x:v>42</x:v>
      </x:c>
      <x:c r="J56" s="157" t="n">
        <x:f>IF(AND(ISNUMBER(G56),ISNUMBER(H56),G56&lt;&gt;0),(H56-G56)/ABS(G56),"")</x:f>
        <x:v>0.14</x:v>
      </x:c>
    </x:row>
    <x:row r="57">
      <x:c r="A57" s="30" t="str">
        <x:v>Armor</x:v>
      </x:c>
      <x:c r="B57" s="30" t="str">
        <x:v>Legs</x:v>
      </x:c>
      <x:c r="C57" s="29" t="str">
        <x:v>53900000</x:v>
      </x:c>
      <x:c r="D57" s="30" t="str">
        <x:v>AL-J-121/RC JAILBREAK</x:v>
      </x:c>
      <x:c r="E57" s="30" t="str">
        <x:v>Jump Height</x:v>
      </x:c>
      <x:c r="F57" s="30" t="str">
        <x:v>jumpSpecifyAlt_GoalAlt</x:v>
      </x:c>
      <x:c r="G57" s="30" t="n">
        <x:v>25</x:v>
      </x:c>
      <x:c r="H57" s="30" t="n">
        <x:v>11</x:v>
      </x:c>
      <x:c r="I57" s="30" t="n">
        <x:f>IF(AND(ISNUMBER(G57),ISNUMBER(H57)),H57-G57,"")</x:f>
        <x:v>-14</x:v>
      </x:c>
      <x:c r="J57" s="157" t="n">
        <x:f>IF(AND(ISNUMBER(G57),ISNUMBER(H57),G57&lt;&gt;0),(H57-G57)/ABS(G57),"")</x:f>
        <x:v>-0.56</x:v>
      </x:c>
    </x:row>
    <x:row r="58">
      <x:c r="A58" s="30" t="str">
        <x:v>Armor</x:v>
      </x:c>
      <x:c r="B58" s="30" t="str">
        <x:v>Legs</x:v>
      </x:c>
      <x:c r="C58" s="29" t="str">
        <x:v>53900000</x:v>
      </x:c>
      <x:c r="D58" s="30" t="str">
        <x:v>AL-J-121/RC JAILBREAK</x:v>
      </x:c>
      <x:c r="E58" s="30" t="str">
        <x:v>Load Limit</x:v>
      </x:c>
      <x:c r="F58" s="30" t="str">
        <x:v>legs_payload</x:v>
      </x:c>
      <x:c r="G58" s="30" t="n">
        <x:v>62600</x:v>
      </x:c>
      <x:c r="H58" s="30" t="n">
        <x:v>68500</x:v>
      </x:c>
      <x:c r="I58" s="30" t="n">
        <x:f>IF(AND(ISNUMBER(G58),ISNUMBER(H58)),H58-G58,"")</x:f>
        <x:v>5900</x:v>
      </x:c>
      <x:c r="J58" s="157" t="n">
        <x:f>IF(AND(ISNUMBER(G58),ISNUMBER(H58),G58&lt;&gt;0),(H58-G58)/ABS(G58),"")</x:f>
        <x:v>0.09424920127795527</x:v>
      </x:c>
    </x:row>
    <x:row r="59">
      <x:c r="A59" s="30" t="str">
        <x:v>Armor</x:v>
      </x:c>
      <x:c r="B59" s="30" t="str">
        <x:v>Legs</x:v>
      </x:c>
      <x:c r="C59" s="29" t="str">
        <x:v>53900000</x:v>
      </x:c>
      <x:c r="D59" s="30" t="str">
        <x:v>AL-J-121/RC JAILBREAK</x:v>
      </x:c>
      <x:c r="E59" s="30" t="str">
        <x:v>Weight</x:v>
      </x:c>
      <x:c r="F59" s="30" t="str">
        <x:v>weight</x:v>
      </x:c>
      <x:c r="G59" s="30" t="n">
        <x:v>18560</x:v>
      </x:c>
      <x:c r="H59" s="30" t="n">
        <x:v>21560</x:v>
      </x:c>
      <x:c r="I59" s="30" t="n">
        <x:f>IF(AND(ISNUMBER(G59),ISNUMBER(H59)),H59-G59,"")</x:f>
        <x:v>3000</x:v>
      </x:c>
      <x:c r="J59" s="157" t="n">
        <x:f>IF(AND(ISNUMBER(G59),ISNUMBER(H59),G59&lt;&gt;0),(H59-G59)/ABS(G59),"")</x:f>
        <x:v>0.16163793103448276</x:v>
      </x:c>
    </x:row>
    <x:row r="60">
      <x:c r="A60" s="30" t="str">
        <x:v>Armor</x:v>
      </x:c>
      <x:c r="B60" s="30" t="str">
        <x:v>Legs</x:v>
      </x:c>
      <x:c r="C60" s="29" t="str">
        <x:v>53080000</x:v>
      </x:c>
      <x:c r="D60" s="30" t="str">
        <x:v>IB-C03L: HAL 826</x:v>
      </x:c>
      <x:c r="E60" s="30" t="str">
        <x:v>AP</x:v>
      </x:c>
      <x:c r="F60" s="30" t="str">
        <x:v>ap</x:v>
      </x:c>
      <x:c r="G60" s="30" t="n">
        <x:v>4320</x:v>
      </x:c>
      <x:c r="H60" s="30" t="n">
        <x:v>4120</x:v>
      </x:c>
      <x:c r="I60" s="30" t="n">
        <x:f>IF(AND(ISNUMBER(G60),ISNUMBER(H60)),H60-G60,"")</x:f>
        <x:v>-200</x:v>
      </x:c>
      <x:c r="J60" s="157" t="n">
        <x:f>IF(AND(ISNUMBER(G60),ISNUMBER(H60),G60&lt;&gt;0),(H60-G60)/ABS(G60),"")</x:f>
        <x:v>-0.046296296296296294</x:v>
      </x:c>
    </x:row>
    <x:row r="61">
      <x:c r="A61" s="30" t="str">
        <x:v>Armor</x:v>
      </x:c>
      <x:c r="B61" s="30" t="str">
        <x:v>Legs</x:v>
      </x:c>
      <x:c r="C61" s="29" t="str">
        <x:v>53080000</x:v>
      </x:c>
      <x:c r="D61" s="30" t="str">
        <x:v>IB-C03L: HAL 826</x:v>
      </x:c>
      <x:c r="E61" s="30" t="str">
        <x:v>EN Load</x:v>
      </x:c>
      <x:c r="F61" s="30" t="str">
        <x:v>consumeEN</x:v>
      </x:c>
      <x:c r="G61" s="30" t="n">
        <x:v>345</x:v>
      </x:c>
      <x:c r="H61" s="30" t="n">
        <x:v>385</x:v>
      </x:c>
      <x:c r="I61" s="30" t="n">
        <x:f>IF(AND(ISNUMBER(G61),ISNUMBER(H61)),H61-G61,"")</x:f>
        <x:v>40</x:v>
      </x:c>
      <x:c r="J61" s="157" t="n">
        <x:f>IF(AND(ISNUMBER(G61),ISNUMBER(H61),G61&lt;&gt;0),(H61-G61)/ABS(G61),"")</x:f>
        <x:v>0.11594202898550725</x:v>
      </x:c>
    </x:row>
    <x:row r="62">
      <x:c r="A62" s="30" t="str">
        <x:v>Armor</x:v>
      </x:c>
      <x:c r="B62" s="30" t="str">
        <x:v>Legs</x:v>
      </x:c>
      <x:c r="C62" s="29" t="str">
        <x:v>53080000</x:v>
      </x:c>
      <x:c r="D62" s="30" t="str">
        <x:v>IB-C03L: HAL 826</x:v>
      </x:c>
      <x:c r="E62" s="30" t="str">
        <x:v>Weight</x:v>
      </x:c>
      <x:c r="F62" s="30" t="str">
        <x:v>weight</x:v>
      </x:c>
      <x:c r="G62" s="30" t="n">
        <x:v>20190</x:v>
      </x:c>
      <x:c r="H62" s="30" t="n">
        <x:v>18400</x:v>
      </x:c>
      <x:c r="I62" s="30" t="n">
        <x:f>IF(AND(ISNUMBER(G62),ISNUMBER(H62)),H62-G62,"")</x:f>
        <x:v>-1790</x:v>
      </x:c>
      <x:c r="J62" s="157" t="n">
        <x:f>IF(AND(ISNUMBER(G62),ISNUMBER(H62),G62&lt;&gt;0),(H62-G62)/ABS(G62),"")</x:f>
        <x:v>-0.08865775136206043</x:v>
      </x:c>
    </x:row>
    <x:row r="63">
      <x:c r="A63" s="30" t="str">
        <x:v>Armor</x:v>
      </x:c>
      <x:c r="B63" s="30" t="str">
        <x:v>Legs</x:v>
      </x:c>
      <x:c r="C63" s="29" t="str">
        <x:v>53200000</x:v>
      </x:c>
      <x:c r="D63" s="30" t="str">
        <x:v>LG-033M VERRILL</x:v>
      </x:c>
      <x:c r="E63" s="30" t="str">
        <x:v>AP</x:v>
      </x:c>
      <x:c r="F63" s="30" t="str">
        <x:v>ap</x:v>
      </x:c>
      <x:c r="G63" s="30" t="n">
        <x:v>5650</x:v>
      </x:c>
      <x:c r="H63" s="30" t="n">
        <x:v>5990</x:v>
      </x:c>
      <x:c r="I63" s="30" t="n">
        <x:f>IF(AND(ISNUMBER(G63),ISNUMBER(H63)),H63-G63,"")</x:f>
        <x:v>340</x:v>
      </x:c>
      <x:c r="J63" s="157" t="n">
        <x:f>IF(AND(ISNUMBER(G63),ISNUMBER(H63),G63&lt;&gt;0),(H63-G63)/ABS(G63),"")</x:f>
        <x:v>0.06017699115044248</x:v>
      </x:c>
    </x:row>
    <x:row r="64">
      <x:c r="A64" s="30" t="str">
        <x:v>Armor</x:v>
      </x:c>
      <x:c r="B64" s="30" t="str">
        <x:v>Legs</x:v>
      </x:c>
      <x:c r="C64" s="29" t="str">
        <x:v>53170400</x:v>
      </x:c>
      <x:c r="D64" s="30" t="str">
        <x:v>RC-2000 SPRING CHICKEN</x:v>
      </x:c>
      <x:c r="E64" s="30" t="str">
        <x:v>Attitude Stability</x:v>
      </x:c>
      <x:c r="F64" s="30" t="str">
        <x:v>stability</x:v>
      </x:c>
      <x:c r="G64" s="30" t="n">
        <x:v>841</x:v>
      </x:c>
      <x:c r="H64" s="30" t="n">
        <x:v>860</x:v>
      </x:c>
      <x:c r="I64" s="30" t="n">
        <x:f>IF(AND(ISNUMBER(G64),ISNUMBER(H64)),H64-G64,"")</x:f>
        <x:v>19</x:v>
      </x:c>
      <x:c r="J64" s="157" t="n">
        <x:f>IF(AND(ISNUMBER(G64),ISNUMBER(H64),G64&lt;&gt;0),(H64-G64)/ABS(G64),"")</x:f>
        <x:v>0.022592152199762187</x:v>
      </x:c>
    </x:row>
    <x:row r="65">
      <x:c r="A65" s="30" t="str">
        <x:v>Booster</x:v>
      </x:c>
      <x:c r="B65" s="30" t="str"/>
      <x:c r="C65" s="29" t="str">
        <x:v>60070300</x:v>
      </x:c>
      <x:c r="D65" s="30" t="str">
        <x:v>BC-0400 MULE</x:v>
      </x:c>
      <x:c r="E65" s="30" t="str">
        <x:v>Assault Boost EN/sec</x:v>
      </x:c>
      <x:c r="F65" s="30" t="str">
        <x:v>assaultBoost_DrainEnPointPerSec</x:v>
      </x:c>
      <x:c r="G65" s="30" t="n">
        <x:v>381</x:v>
      </x:c>
      <x:c r="H65" s="30" t="n">
        <x:v>354</x:v>
      </x:c>
      <x:c r="I65" s="30" t="n">
        <x:f>IF(AND(ISNUMBER(G65),ISNUMBER(H65)),H65-G65,"")</x:f>
        <x:v>-27</x:v>
      </x:c>
      <x:c r="J65" s="157" t="n">
        <x:f>IF(AND(ISNUMBER(G65),ISNUMBER(H65),G65&lt;&gt;0),(H65-G65)/ABS(G65),"")</x:f>
        <x:v>-0.07086614173228346</x:v>
      </x:c>
    </x:row>
    <x:row r="66">
      <x:c r="A66" s="30" t="str">
        <x:v>Booster</x:v>
      </x:c>
      <x:c r="B66" s="30" t="str"/>
      <x:c r="C66" s="29" t="str">
        <x:v>60070300</x:v>
      </x:c>
      <x:c r="D66" s="30" t="str">
        <x:v>BC-0400 MULE</x:v>
      </x:c>
      <x:c r="E66" s="30" t="str">
        <x:v>EN Load</x:v>
      </x:c>
      <x:c r="F66" s="30" t="str">
        <x:v>consumeEN</x:v>
      </x:c>
      <x:c r="G66" s="30" t="n">
        <x:v>200</x:v>
      </x:c>
      <x:c r="H66" s="30" t="n">
        <x:v>120</x:v>
      </x:c>
      <x:c r="I66" s="30" t="n">
        <x:f>IF(AND(ISNUMBER(G66),ISNUMBER(H66)),H66-G66,"")</x:f>
        <x:v>-80</x:v>
      </x:c>
      <x:c r="J66" s="157" t="n">
        <x:f>IF(AND(ISNUMBER(G66),ISNUMBER(H66),G66&lt;&gt;0),(H66-G66)/ABS(G66),"")</x:f>
        <x:v>-0.4</x:v>
      </x:c>
    </x:row>
    <x:row r="67">
      <x:c r="A67" s="30" t="str">
        <x:v>Booster</x:v>
      </x:c>
      <x:c r="B67" s="30" t="str"/>
      <x:c r="C67" s="29" t="str">
        <x:v>60070300</x:v>
      </x:c>
      <x:c r="D67" s="30" t="str">
        <x:v>BC-0400 MULE</x:v>
      </x:c>
      <x:c r="E67" s="30" t="str">
        <x:v>Melee Thrust EN/sec</x:v>
      </x:c>
      <x:c r="F67" s="30" t="str">
        <x:v>bladeHoming_DrainEnPointPerSec</x:v>
      </x:c>
      <x:c r="G67" s="30" t="n">
        <x:v>390</x:v>
      </x:c>
      <x:c r="H67" s="30" t="n">
        <x:v>370</x:v>
      </x:c>
      <x:c r="I67" s="30" t="n">
        <x:f>IF(AND(ISNUMBER(G67),ISNUMBER(H67)),H67-G67,"")</x:f>
        <x:v>-20</x:v>
      </x:c>
      <x:c r="J67" s="157" t="n">
        <x:f>IF(AND(ISNUMBER(G67),ISNUMBER(H67),G67&lt;&gt;0),(H67-G67)/ABS(G67),"")</x:f>
        <x:v>-0.05128205128205128</x:v>
      </x:c>
    </x:row>
    <x:row r="68">
      <x:c r="A68" s="30" t="str">
        <x:v>Booster</x:v>
      </x:c>
      <x:c r="B68" s="30" t="str"/>
      <x:c r="C68" s="29" t="str">
        <x:v>60070300</x:v>
      </x:c>
      <x:c r="D68" s="30" t="str">
        <x:v>BC-0400 MULE</x:v>
      </x:c>
      <x:c r="E68" s="30" t="str">
        <x:v>QB EN Cost</x:v>
      </x:c>
      <x:c r="F68" s="30" t="str">
        <x:v>consumeFixedEN_QB</x:v>
      </x:c>
      <x:c r="G68" s="30" t="n">
        <x:v>670</x:v>
      </x:c>
      <x:c r="H68" s="30" t="n">
        <x:v>534</x:v>
      </x:c>
      <x:c r="I68" s="30" t="n">
        <x:f>IF(AND(ISNUMBER(G68),ISNUMBER(H68)),H68-G68,"")</x:f>
        <x:v>-136</x:v>
      </x:c>
      <x:c r="J68" s="157" t="n">
        <x:f>IF(AND(ISNUMBER(G68),ISNUMBER(H68),G68&lt;&gt;0),(H68-G68)/ABS(G68),"")</x:f>
        <x:v>-0.20298507462686566</x:v>
      </x:c>
    </x:row>
    <x:row r="69">
      <x:c r="A69" s="30" t="str">
        <x:v>Booster</x:v>
      </x:c>
      <x:c r="B69" s="30" t="str"/>
      <x:c r="C69" s="29" t="str">
        <x:v>60070300</x:v>
      </x:c>
      <x:c r="D69" s="30" t="str">
        <x:v>BC-0400 MULE</x:v>
      </x:c>
      <x:c r="E69" s="30" t="str">
        <x:v>Upward EN Cost</x:v>
      </x:c>
      <x:c r="F69" s="30" t="str">
        <x:v>consumeEN_BoostUp</x:v>
      </x:c>
      <x:c r="G69" s="30" t="n">
        <x:v>405</x:v>
      </x:c>
      <x:c r="H69" s="30" t="n">
        <x:v>320</x:v>
      </x:c>
      <x:c r="I69" s="30" t="n">
        <x:f>IF(AND(ISNUMBER(G69),ISNUMBER(H69)),H69-G69,"")</x:f>
        <x:v>-85</x:v>
      </x:c>
      <x:c r="J69" s="157" t="n">
        <x:f>IF(AND(ISNUMBER(G69),ISNUMBER(H69),G69&lt;&gt;0),(H69-G69)/ABS(G69),"")</x:f>
        <x:v>-0.20987654320987653</x:v>
      </x:c>
    </x:row>
    <x:row r="70">
      <x:c r="A70" s="30" t="str">
        <x:v>Booster</x:v>
      </x:c>
      <x:c r="B70" s="30" t="str"/>
      <x:c r="C70" s="29" t="str">
        <x:v>60000000</x:v>
      </x:c>
      <x:c r="D70" s="30" t="str">
        <x:v>BST-G2/P04</x:v>
      </x:c>
      <x:c r="E70" s="30" t="str">
        <x:v>Boost Max Speed</x:v>
      </x:c>
      <x:c r="F70" s="30" t="str">
        <x:v>f00_dashBoostMaxSpeedKMPH</x:v>
      </x:c>
      <x:c r="G70" s="30" t="n">
        <x:v>280</x:v>
      </x:c>
      <x:c r="H70" s="30" t="n">
        <x:v>290</x:v>
      </x:c>
      <x:c r="I70" s="30" t="n">
        <x:f>IF(AND(ISNUMBER(G70),ISNUMBER(H70)),H70-G70,"")</x:f>
        <x:v>10</x:v>
      </x:c>
      <x:c r="J70" s="157" t="n">
        <x:f>IF(AND(ISNUMBER(G70),ISNUMBER(H70),G70&lt;&gt;0),(H70-G70)/ABS(G70),"")</x:f>
        <x:v>0.03571428571428571</x:v>
      </x:c>
    </x:row>
    <x:row r="71">
      <x:c r="A71" s="30" t="str">
        <x:v>Booster</x:v>
      </x:c>
      <x:c r="B71" s="30" t="str"/>
      <x:c r="C71" s="29" t="str">
        <x:v>60000000</x:v>
      </x:c>
      <x:c r="D71" s="30" t="str">
        <x:v>BST-G2/P04</x:v>
      </x:c>
      <x:c r="E71" s="30" t="str">
        <x:v>Melee Thrust End Speed</x:v>
      </x:c>
      <x:c r="F71" s="30" t="str">
        <x:v>bladeHoming_EndSpeedKMH</x:v>
      </x:c>
      <x:c r="G71" s="30" t="n">
        <x:v>580</x:v>
      </x:c>
      <x:c r="H71" s="30" t="n">
        <x:v>590</x:v>
      </x:c>
      <x:c r="I71" s="30" t="n">
        <x:f>IF(AND(ISNUMBER(G71),ISNUMBER(H71)),H71-G71,"")</x:f>
        <x:v>10</x:v>
      </x:c>
      <x:c r="J71" s="157" t="n">
        <x:f>IF(AND(ISNUMBER(G71),ISNUMBER(H71),G71&lt;&gt;0),(H71-G71)/ABS(G71),"")</x:f>
        <x:v>0.017241379310344827</x:v>
      </x:c>
    </x:row>
    <x:row r="72">
      <x:c r="A72" s="30" t="str">
        <x:v>Booster</x:v>
      </x:c>
      <x:c r="B72" s="30" t="str"/>
      <x:c r="C72" s="29" t="str">
        <x:v>60070100</x:v>
      </x:c>
      <x:c r="D72" s="30" t="str">
        <x:v>IA-C01B: GILLS</x:v>
      </x:c>
      <x:c r="E72" s="30" t="str">
        <x:v>QB End Speed</x:v>
      </x:c>
      <x:c r="F72" s="30" t="str">
        <x:v>QB_EndSpeedKMH</x:v>
      </x:c>
      <x:c r="G72" s="30" t="n">
        <x:v>320</x:v>
      </x:c>
      <x:c r="H72" s="30" t="n">
        <x:v>340</x:v>
      </x:c>
      <x:c r="I72" s="30" t="n">
        <x:f>IF(AND(ISNUMBER(G72),ISNUMBER(H72)),H72-G72,"")</x:f>
        <x:v>20</x:v>
      </x:c>
      <x:c r="J72" s="157" t="n">
        <x:f>IF(AND(ISNUMBER(G72),ISNUMBER(H72),G72&lt;&gt;0),(H72-G72)/ABS(G72),"")</x:f>
        <x:v>0.0625</x:v>
      </x:c>
    </x:row>
    <x:row r="73">
      <x:c r="A73" s="30" t="str">
        <x:v>FCS</x:v>
      </x:c>
      <x:c r="B73" s="30" t="str"/>
      <x:c r="C73" s="29" t="str">
        <x:v>70020000</x:v>
      </x:c>
      <x:c r="D73" s="30" t="str">
        <x:v>VE-21A</x:v>
      </x:c>
      <x:c r="E73" s="30" t="str">
        <x:v>Prediction Max Offset</x:v>
      </x:c>
      <x:c r="F73" s="30" t="str">
        <x:v>predictionShoot_MaxShootOffset</x:v>
      </x:c>
      <x:c r="G73" s="30" t="n">
        <x:v>80</x:v>
      </x:c>
      <x:c r="H73" s="30" t="n">
        <x:v>70</x:v>
      </x:c>
      <x:c r="I73" s="30" t="n">
        <x:f>IF(AND(ISNUMBER(G73),ISNUMBER(H73)),H73-G73,"")</x:f>
        <x:v>-10</x:v>
      </x:c>
      <x:c r="J73" s="157" t="n">
        <x:f>IF(AND(ISNUMBER(G73),ISNUMBER(H73),G73&lt;&gt;0),(H73-G73)/ABS(G73),"")</x:f>
        <x:v>-0.125</x:v>
      </x:c>
    </x:row>
    <x:row r="74">
      <x:c r="A74" s="30" t="str">
        <x:v>FCS</x:v>
      </x:c>
      <x:c r="B74" s="30" t="str"/>
      <x:c r="C74" s="29" t="str">
        <x:v>70020000</x:v>
      </x:c>
      <x:c r="D74" s="30" t="str">
        <x:v>VE-21A</x:v>
      </x:c>
      <x:c r="E74" s="30" t="str">
        <x:v>Prediction Start Distance</x:v>
      </x:c>
      <x:c r="F74" s="30" t="str">
        <x:v>predictionShoot_StartPredDist</x:v>
      </x:c>
      <x:c r="G74" s="30" t="n">
        <x:v>390</x:v>
      </x:c>
      <x:c r="H74" s="30" t="n">
        <x:v>400</x:v>
      </x:c>
      <x:c r="I74" s="30" t="n">
        <x:f>IF(AND(ISNUMBER(G74),ISNUMBER(H74)),H74-G74,"")</x:f>
        <x:v>10</x:v>
      </x:c>
      <x:c r="J74" s="157" t="n">
        <x:f>IF(AND(ISNUMBER(G74),ISNUMBER(H74),G74&lt;&gt;0),(H74-G74)/ABS(G74),"")</x:f>
        <x:v>0.02564102564102564</x:v>
      </x:c>
    </x:row>
    <x:row r="75">
      <x:c r="A75" s="30" t="str">
        <x:v>FCS</x:v>
      </x:c>
      <x:c r="B75" s="30" t="str"/>
      <x:c r="C75" s="29" t="str">
        <x:v>70020100</x:v>
      </x:c>
      <x:c r="D75" s="30" t="str">
        <x:v>VE-21B</x:v>
      </x:c>
      <x:c r="E75" s="30" t="str">
        <x:v>Prediction Bullet Speed</x:v>
      </x:c>
      <x:c r="F75" s="30" t="str">
        <x:v>predictionShoot_BulletSpeedMPS</x:v>
      </x:c>
      <x:c r="G75" s="30" t="n">
        <x:v>350</x:v>
      </x:c>
      <x:c r="H75" s="30" t="n">
        <x:v>400</x:v>
      </x:c>
      <x:c r="I75" s="30" t="n">
        <x:f>IF(AND(ISNUMBER(G75),ISNUMBER(H75)),H75-G75,"")</x:f>
        <x:v>50</x:v>
      </x:c>
      <x:c r="J75" s="157" t="n">
        <x:f>IF(AND(ISNUMBER(G75),ISNUMBER(H75),G75&lt;&gt;0),(H75-G75)/ABS(G75),"")</x:f>
        <x:v>0.14285714285714285</x:v>
      </x:c>
    </x:row>
    <x:row r="76">
      <x:c r="A76" s="30" t="str">
        <x:v>FCS</x:v>
      </x:c>
      <x:c r="B76" s="30" t="str"/>
      <x:c r="C76" s="29" t="str">
        <x:v>70020100</x:v>
      </x:c>
      <x:c r="D76" s="30" t="str">
        <x:v>VE-21B</x:v>
      </x:c>
      <x:c r="E76" s="30" t="str">
        <x:v>Prediction Max Offset</x:v>
      </x:c>
      <x:c r="F76" s="30" t="str">
        <x:v>predictionShoot_MaxShootOffset</x:v>
      </x:c>
      <x:c r="G76" s="30" t="n">
        <x:v>80</x:v>
      </x:c>
      <x:c r="H76" s="30" t="n">
        <x:v>70</x:v>
      </x:c>
      <x:c r="I76" s="30" t="n">
        <x:f>IF(AND(ISNUMBER(G76),ISNUMBER(H76)),H76-G76,"")</x:f>
        <x:v>-10</x:v>
      </x:c>
      <x:c r="J76" s="157" t="n">
        <x:f>IF(AND(ISNUMBER(G76),ISNUMBER(H76),G76&lt;&gt;0),(H76-G76)/ABS(G76),"")</x:f>
        <x:v>-0.125</x:v>
      </x:c>
    </x:row>
    <x:row r="77">
      <x:c r="A77" s="30" t="str">
        <x:v>FCS</x:v>
      </x:c>
      <x:c r="B77" s="30" t="str"/>
      <x:c r="C77" s="29" t="str">
        <x:v>70020100</x:v>
      </x:c>
      <x:c r="D77" s="30" t="str">
        <x:v>VE-21B</x:v>
      </x:c>
      <x:c r="E77" s="30" t="str">
        <x:v>Prediction Start Distance</x:v>
      </x:c>
      <x:c r="F77" s="30" t="str">
        <x:v>predictionShoot_StartPredDist</x:v>
      </x:c>
      <x:c r="G77" s="30" t="n">
        <x:v>390</x:v>
      </x:c>
      <x:c r="H77" s="30" t="n">
        <x:v>500</x:v>
      </x:c>
      <x:c r="I77" s="30" t="n">
        <x:f>IF(AND(ISNUMBER(G77),ISNUMBER(H77)),H77-G77,"")</x:f>
        <x:v>110</x:v>
      </x:c>
      <x:c r="J77" s="157" t="n">
        <x:f>IF(AND(ISNUMBER(G77),ISNUMBER(H77),G77&lt;&gt;0),(H77-G77)/ABS(G77),"")</x:f>
        <x:v>0.28205128205128205</x:v>
      </x:c>
    </x:row>
    <x:row r="78">
      <x:c r="A78" s="30" t="str">
        <x:v>Generator</x:v>
      </x:c>
      <x:c r="B78" s="30" t="str"/>
      <x:c r="C78" s="29" t="str">
        <x:v>65000000</x:v>
      </x:c>
      <x:c r="D78" s="30" t="str">
        <x:v>AG-J-098 JOSO</x:v>
      </x:c>
      <x:c r="E78" s="30" t="str">
        <x:v>EN Recharge</x:v>
      </x:c>
      <x:c r="F78" s="30" t="str">
        <x:v>energyRecoveryPerSec</x:v>
      </x:c>
      <x:c r="G78" s="30" t="n">
        <x:v>2600</x:v>
      </x:c>
      <x:c r="H78" s="30" t="n">
        <x:v>2930</x:v>
      </x:c>
      <x:c r="I78" s="30" t="n">
        <x:f>IF(AND(ISNUMBER(G78),ISNUMBER(H78)),H78-G78,"")</x:f>
        <x:v>330</x:v>
      </x:c>
      <x:c r="J78" s="157" t="n">
        <x:f>IF(AND(ISNUMBER(G78),ISNUMBER(H78),G78&lt;&gt;0),(H78-G78)/ABS(G78),"")</x:f>
        <x:v>0.12692307692307692</x:v>
      </x:c>
    </x:row>
    <x:row r="79">
      <x:c r="A79" s="30" t="str">
        <x:v>Generator</x:v>
      </x:c>
      <x:c r="B79" s="30" t="str"/>
      <x:c r="C79" s="29" t="str">
        <x:v>65000000</x:v>
      </x:c>
      <x:c r="D79" s="30" t="str">
        <x:v>AG-J-098 JOSO</x:v>
      </x:c>
      <x:c r="E79" s="30" t="str">
        <x:v>Post-Recovery EN</x:v>
      </x:c>
      <x:c r="F79" s="30" t="str">
        <x:v>energyRecoverValForEmpty</x:v>
      </x:c>
      <x:c r="G79" s="30" t="n">
        <x:v>400</x:v>
      </x:c>
      <x:c r="H79" s="30" t="n">
        <x:v>700</x:v>
      </x:c>
      <x:c r="I79" s="30" t="n">
        <x:f>IF(AND(ISNUMBER(G79),ISNUMBER(H79)),H79-G79,"")</x:f>
        <x:v>300</x:v>
      </x:c>
      <x:c r="J79" s="157" t="n">
        <x:f>IF(AND(ISNUMBER(G79),ISNUMBER(H79),G79&lt;&gt;0),(H79-G79)/ABS(G79),"")</x:f>
        <x:v>0.75</x:v>
      </x:c>
    </x:row>
    <x:row r="80">
      <x:c r="A80" s="30" t="str">
        <x:v>Generator</x:v>
      </x:c>
      <x:c r="B80" s="30" t="str"/>
      <x:c r="C80" s="29" t="str">
        <x:v>65010000</x:v>
      </x:c>
      <x:c r="D80" s="30" t="str">
        <x:v>DF-GN-02 LING-TAI</x:v>
      </x:c>
      <x:c r="E80" s="30" t="str">
        <x:v>EN Recharge</x:v>
      </x:c>
      <x:c r="F80" s="30" t="str">
        <x:v>energyRecoveryPerSec</x:v>
      </x:c>
      <x:c r="G80" s="30" t="n">
        <x:v>2340</x:v>
      </x:c>
      <x:c r="H80" s="30" t="n">
        <x:v>2750</x:v>
      </x:c>
      <x:c r="I80" s="30" t="n">
        <x:f>IF(AND(ISNUMBER(G80),ISNUMBER(H80)),H80-G80,"")</x:f>
        <x:v>410</x:v>
      </x:c>
      <x:c r="J80" s="157" t="n">
        <x:f>IF(AND(ISNUMBER(G80),ISNUMBER(H80),G80&lt;&gt;0),(H80-G80)/ABS(G80),"")</x:f>
        <x:v>0.1752136752136752</x:v>
      </x:c>
    </x:row>
    <x:row r="81">
      <x:c r="A81" s="30" t="str">
        <x:v>Generator</x:v>
      </x:c>
      <x:c r="B81" s="30" t="str"/>
      <x:c r="C81" s="29" t="str">
        <x:v>65030000</x:v>
      </x:c>
      <x:c r="D81" s="30" t="str">
        <x:v>IA-C01G: AORTA</x:v>
      </x:c>
      <x:c r="E81" s="30" t="str">
        <x:v>Empty Recovery Delay</x:v>
      </x:c>
      <x:c r="F81" s="30" t="str">
        <x:v>energyRecoveryDelayTimeForEmptySec</x:v>
      </x:c>
      <x:c r="G81" s="30" t="n">
        <x:v>3</x:v>
      </x:c>
      <x:c r="H81" s="30" t="n">
        <x:v>2.9</x:v>
      </x:c>
      <x:c r="I81" s="30" t="n">
        <x:f>IF(AND(ISNUMBER(G81),ISNUMBER(H81)),H81-G81,"")</x:f>
        <x:v>-0.10000000000000009</x:v>
      </x:c>
      <x:c r="J81" s="157" t="n">
        <x:f>IF(AND(ISNUMBER(G81),ISNUMBER(H81),G81&lt;&gt;0),(H81-G81)/ABS(G81),"")</x:f>
        <x:v>-0.03333333333333336</x:v>
      </x:c>
    </x:row>
    <x:row r="82">
      <x:c r="A82" s="30" t="str">
        <x:v>Generator</x:v>
      </x:c>
      <x:c r="B82" s="30" t="str"/>
      <x:c r="C82" s="29" t="str">
        <x:v>65030000</x:v>
      </x:c>
      <x:c r="D82" s="30" t="str">
        <x:v>IA-C01G: AORTA</x:v>
      </x:c>
      <x:c r="E82" s="30" t="str">
        <x:v>EN Capacity</x:v>
      </x:c>
      <x:c r="F82" s="30" t="str">
        <x:v>energyMax</x:v>
      </x:c>
      <x:c r="G82" s="30" t="n">
        <x:v>3000</x:v>
      </x:c>
      <x:c r="H82" s="30" t="n">
        <x:v>3200</x:v>
      </x:c>
      <x:c r="I82" s="30" t="n">
        <x:f>IF(AND(ISNUMBER(G82),ISNUMBER(H82)),H82-G82,"")</x:f>
        <x:v>200</x:v>
      </x:c>
      <x:c r="J82" s="157" t="n">
        <x:f>IF(AND(ISNUMBER(G82),ISNUMBER(H82),G82&lt;&gt;0),(H82-G82)/ABS(G82),"")</x:f>
        <x:v>0.06666666666666667</x:v>
      </x:c>
    </x:row>
    <x:row r="83">
      <x:c r="A83" s="30" t="str">
        <x:v>Generator</x:v>
      </x:c>
      <x:c r="B83" s="30" t="str"/>
      <x:c r="C83" s="29" t="str">
        <x:v>65030000</x:v>
      </x:c>
      <x:c r="D83" s="30" t="str">
        <x:v>IA-C01G: AORTA</x:v>
      </x:c>
      <x:c r="E83" s="30" t="str">
        <x:v>EN Firearm Spec.</x:v>
      </x:c>
      <x:c r="F83" s="30" t="str">
        <x:v>AppropriateType_Energy</x:v>
      </x:c>
      <x:c r="G83" s="30" t="n">
        <x:v>105</x:v>
      </x:c>
      <x:c r="H83" s="30" t="n">
        <x:v>108</x:v>
      </x:c>
      <x:c r="I83" s="30" t="n">
        <x:f>IF(AND(ISNUMBER(G83),ISNUMBER(H83)),H83-G83,"")</x:f>
        <x:v>3</x:v>
      </x:c>
      <x:c r="J83" s="157" t="n">
        <x:f>IF(AND(ISNUMBER(G83),ISNUMBER(H83),G83&lt;&gt;0),(H83-G83)/ABS(G83),"")</x:f>
        <x:v>0.02857142857142857</x:v>
      </x:c>
    </x:row>
    <x:row r="84">
      <x:c r="A84" s="30" t="str">
        <x:v>Generator</x:v>
      </x:c>
      <x:c r="B84" s="30" t="str"/>
      <x:c r="C84" s="29" t="str">
        <x:v>65030000</x:v>
      </x:c>
      <x:c r="D84" s="30" t="str">
        <x:v>IA-C01G: AORTA</x:v>
      </x:c>
      <x:c r="E84" s="30" t="str">
        <x:v>Recharge Delay</x:v>
      </x:c>
      <x:c r="F84" s="30" t="str">
        <x:v>energyRecoveryDelayTimeSec</x:v>
      </x:c>
      <x:c r="G84" s="30" t="n">
        <x:v>4.2</x:v>
      </x:c>
      <x:c r="H84" s="30" t="n">
        <x:v>4.1</x:v>
      </x:c>
      <x:c r="I84" s="30" t="n">
        <x:f>IF(AND(ISNUMBER(G84),ISNUMBER(H84)),H84-G84,"")</x:f>
        <x:v>-0.10000000000000053</x:v>
      </x:c>
      <x:c r="J84" s="157" t="n">
        <x:f>IF(AND(ISNUMBER(G84),ISNUMBER(H84),G84&lt;&gt;0),(H84-G84)/ABS(G84),"")</x:f>
        <x:v>-0.023809523809523937</x:v>
      </x:c>
    </x:row>
    <x:row r="85">
      <x:c r="A85" s="30" t="str">
        <x:v>Weapon</x:v>
      </x:c>
      <x:c r="B85" s="30" t="str"/>
      <x:c r="C85" s="29" t="str">
        <x:v>30120000</x:v>
      </x:c>
      <x:c r="D85" s="30" t="str">
        <x:v>BML-G1/P29CNT</x:v>
      </x:c>
      <x:c r="E85" s="30" t="str">
        <x:v>Magazine Reload</x:v>
      </x:c>
      <x:c r="F85" s="30" t="str">
        <x:v>magazineReloadTimeSec</x:v>
      </x:c>
      <x:c r="G85" s="30" t="n">
        <x:v>12</x:v>
      </x:c>
      <x:c r="H85" s="30" t="n">
        <x:v>8</x:v>
      </x:c>
      <x:c r="I85" s="30" t="n">
        <x:f>IF(AND(ISNUMBER(G85),ISNUMBER(H85)),H85-G85,"")</x:f>
        <x:v>-4</x:v>
      </x:c>
      <x:c r="J85" s="157" t="n">
        <x:f>IF(AND(ISNUMBER(G85),ISNUMBER(H85),G85&lt;&gt;0),(H85-G85)/ABS(G85),"")</x:f>
        <x:v>-0.3333333333333333</x:v>
      </x:c>
    </x:row>
    <x:row r="86">
      <x:c r="A86" s="30" t="str">
        <x:v>Weapon</x:v>
      </x:c>
      <x:c r="B86" s="30" t="str"/>
      <x:c r="C86" s="29" t="str">
        <x:v>35120000</x:v>
      </x:c>
      <x:c r="D86" s="30" t="str">
        <x:v>BML-G1/P29CNT</x:v>
      </x:c>
      <x:c r="E86" s="30" t="str">
        <x:v>Magazine Reload</x:v>
      </x:c>
      <x:c r="F86" s="30" t="str">
        <x:v>magazineReloadTimeSec</x:v>
      </x:c>
      <x:c r="G86" s="30" t="n">
        <x:v>12</x:v>
      </x:c>
      <x:c r="H86" s="30" t="n">
        <x:v>8</x:v>
      </x:c>
      <x:c r="I86" s="30" t="n">
        <x:f>IF(AND(ISNUMBER(G86),ISNUMBER(H86)),H86-G86,"")</x:f>
        <x:v>-4</x:v>
      </x:c>
      <x:c r="J86" s="157" t="n">
        <x:f>IF(AND(ISNUMBER(G86),ISNUMBER(H86),G86&lt;&gt;0),(H86-G86)/ABS(G86),"")</x:f>
        <x:v>-0.3333333333333333</x:v>
      </x:c>
    </x:row>
    <x:row r="87">
      <x:c r="A87" s="30" t="str">
        <x:v>Weapon</x:v>
      </x:c>
      <x:c r="B87" s="30" t="str"/>
      <x:c r="C87" s="29" t="str">
        <x:v>10150300</x:v>
      </x:c>
      <x:c r="D87" s="30" t="str">
        <x:v>IA-C01W6: NB-REDSHIFT</x:v>
      </x:c>
      <x:c r="E87" s="30" t="str">
        <x:v>Total Ammo</x:v>
      </x:c>
      <x:c r="F87" s="30" t="str">
        <x:v>totalBulletNum</x:v>
      </x:c>
      <x:c r="G87" s="30" t="n">
        <x:v>52</x:v>
      </x:c>
      <x:c r="H87" s="30" t="n">
        <x:v>26</x:v>
      </x:c>
      <x:c r="I87" s="30" t="n">
        <x:f>IF(AND(ISNUMBER(G87),ISNUMBER(H87)),H87-G87,"")</x:f>
        <x:v>-26</x:v>
      </x:c>
      <x:c r="J87" s="157" t="n">
        <x:f>IF(AND(ISNUMBER(G87),ISNUMBER(H87),G87&lt;&gt;0),(H87-G87)/ABS(G87),"")</x:f>
        <x:v>-0.5</x:v>
      </x:c>
    </x:row>
    <x:row r="88">
      <x:c r="A88" s="30" t="str">
        <x:v>Weapon</x:v>
      </x:c>
      <x:c r="B88" s="30" t="str"/>
      <x:c r="C88" s="29" t="str">
        <x:v>15150300</x:v>
      </x:c>
      <x:c r="D88" s="30" t="str">
        <x:v>IA-C01W6: NB-REDSHIFT</x:v>
      </x:c>
      <x:c r="E88" s="30" t="str">
        <x:v>Total Ammo</x:v>
      </x:c>
      <x:c r="F88" s="30" t="str">
        <x:v>totalBulletNum</x:v>
      </x:c>
      <x:c r="G88" s="30" t="n">
        <x:v>52</x:v>
      </x:c>
      <x:c r="H88" s="30" t="n">
        <x:v>26</x:v>
      </x:c>
      <x:c r="I88" s="30" t="n">
        <x:f>IF(AND(ISNUMBER(G88),ISNUMBER(H88)),H88-G88,"")</x:f>
        <x:v>-26</x:v>
      </x:c>
      <x:c r="J88" s="157" t="n">
        <x:f>IF(AND(ISNUMBER(G88),ISNUMBER(H88),G88&lt;&gt;0),(H88-G88)/ABS(G88),"")</x:f>
        <x:v>-0.5</x:v>
      </x:c>
    </x:row>
    <x:row r="89">
      <x:c r="A89" s="30" t="str">
        <x:v>Weapon</x:v>
      </x:c>
      <x:c r="B89" s="30" t="str"/>
      <x:c r="C89" s="29" t="str">
        <x:v>10110200</x:v>
      </x:c>
      <x:c r="D89" s="30" t="str">
        <x:v>IB-C03W1: WLT 011</x:v>
      </x:c>
      <x:c r="E89" s="30" t="str">
        <x:v>Total Ammo</x:v>
      </x:c>
      <x:c r="F89" s="30" t="str">
        <x:v>totalBulletNum</x:v>
      </x:c>
      <x:c r="G89" s="30" t="n">
        <x:v>180</x:v>
      </x:c>
      <x:c r="H89" s="30" t="n">
        <x:v>90</x:v>
      </x:c>
      <x:c r="I89" s="30" t="n">
        <x:f>IF(AND(ISNUMBER(G89),ISNUMBER(H89)),H89-G89,"")</x:f>
        <x:v>-90</x:v>
      </x:c>
      <x:c r="J89" s="157" t="n">
        <x:f>IF(AND(ISNUMBER(G89),ISNUMBER(H89),G89&lt;&gt;0),(H89-G89)/ABS(G89),"")</x:f>
        <x:v>-0.5</x:v>
      </x:c>
    </x:row>
    <x:row r="90">
      <x:c r="A90" s="30" t="str">
        <x:v>Weapon</x:v>
      </x:c>
      <x:c r="B90" s="30" t="str"/>
      <x:c r="C90" s="29" t="str">
        <x:v>15110200</x:v>
      </x:c>
      <x:c r="D90" s="30" t="str">
        <x:v>IB-C03W1: WLT 011</x:v>
      </x:c>
      <x:c r="E90" s="30" t="str">
        <x:v>Total Ammo</x:v>
      </x:c>
      <x:c r="F90" s="30" t="str">
        <x:v>totalBulletNum</x:v>
      </x:c>
      <x:c r="G90" s="30" t="n">
        <x:v>180</x:v>
      </x:c>
      <x:c r="H90" s="30" t="n">
        <x:v>90</x:v>
      </x:c>
      <x:c r="I90" s="30" t="n">
        <x:f>IF(AND(ISNUMBER(G90),ISNUMBER(H90)),H90-G90,"")</x:f>
        <x:v>-90</x:v>
      </x:c>
      <x:c r="J90" s="157" t="n">
        <x:f>IF(AND(ISNUMBER(G90),ISNUMBER(H90),G90&lt;&gt;0),(H90-G90)/ABS(G90),"")</x:f>
        <x:v>-0.5</x:v>
      </x:c>
    </x:row>
    <x:row r="91">
      <x:c r="A91" s="30" t="str">
        <x:v>Weapon</x:v>
      </x:c>
      <x:c r="B91" s="30" t="str"/>
      <x:c r="C91" s="29" t="str">
        <x:v>30030000</x:v>
      </x:c>
      <x:c r="D91" s="30" t="str">
        <x:v>IB-C03W3: NGI 006</x:v>
      </x:c>
      <x:c r="E91" s="30" t="str">
        <x:v>Total Ammo</x:v>
      </x:c>
      <x:c r="F91" s="30" t="str">
        <x:v>totalBulletNum</x:v>
      </x:c>
      <x:c r="G91" s="30" t="n">
        <x:v>24</x:v>
      </x:c>
      <x:c r="H91" s="30" t="n">
        <x:v>12</x:v>
      </x:c>
      <x:c r="I91" s="30" t="n">
        <x:f>IF(AND(ISNUMBER(G91),ISNUMBER(H91)),H91-G91,"")</x:f>
        <x:v>-12</x:v>
      </x:c>
      <x:c r="J91" s="157" t="n">
        <x:f>IF(AND(ISNUMBER(G91),ISNUMBER(H91),G91&lt;&gt;0),(H91-G91)/ABS(G91),"")</x:f>
        <x:v>-0.5</x:v>
      </x:c>
    </x:row>
    <x:row r="92">
      <x:c r="A92" s="30" t="str">
        <x:v>Weapon</x:v>
      </x:c>
      <x:c r="B92" s="30" t="str"/>
      <x:c r="C92" s="29" t="str">
        <x:v>35030000</x:v>
      </x:c>
      <x:c r="D92" s="30" t="str">
        <x:v>IB-C03W3: NGI 006</x:v>
      </x:c>
      <x:c r="E92" s="30" t="str">
        <x:v>Total Ammo</x:v>
      </x:c>
      <x:c r="F92" s="30" t="str">
        <x:v>totalBulletNum</x:v>
      </x:c>
      <x:c r="G92" s="30" t="n">
        <x:v>24</x:v>
      </x:c>
      <x:c r="H92" s="30" t="n">
        <x:v>12</x:v>
      </x:c>
      <x:c r="I92" s="30" t="n">
        <x:f>IF(AND(ISNUMBER(G92),ISNUMBER(H92)),H92-G92,"")</x:f>
        <x:v>-12</x:v>
      </x:c>
      <x:c r="J92" s="157" t="n">
        <x:f>IF(AND(ISNUMBER(G92),ISNUMBER(H92),G92&lt;&gt;0),(H92-G92)/ABS(G92),"")</x:f>
        <x:v>-0.5</x:v>
      </x:c>
    </x:row>
    <x:row r="93">
      <x:c r="A93" s="30" t="str">
        <x:v>Weapon</x:v>
      </x:c>
      <x:c r="B93" s="30" t="str"/>
      <x:c r="C93" s="29" t="str">
        <x:v>10100000</x:v>
      </x:c>
      <x:c r="D93" s="30" t="str">
        <x:v>IRIDIUM</x:v>
      </x:c>
      <x:c r="E93" s="30" t="str">
        <x:v>Magazine Reload</x:v>
      </x:c>
      <x:c r="F93" s="30" t="str">
        <x:v>magazineReloadTimeSec</x:v>
      </x:c>
      <x:c r="G93" s="30" t="n">
        <x:v>3.8</x:v>
      </x:c>
      <x:c r="H93" s="30" t="n">
        <x:v>3.7</x:v>
      </x:c>
      <x:c r="I93" s="30" t="n">
        <x:f>IF(AND(ISNUMBER(G93),ISNUMBER(H93)),H93-G93,"")</x:f>
        <x:v>-0.09999999999999964</x:v>
      </x:c>
      <x:c r="J93" s="157" t="n">
        <x:f>IF(AND(ISNUMBER(G93),ISNUMBER(H93),G93&lt;&gt;0),(H93-G93)/ABS(G93),"")</x:f>
        <x:v>-0.02631578947368412</x:v>
      </x:c>
    </x:row>
    <x:row r="94">
      <x:c r="A94" s="30" t="str">
        <x:v>Weapon</x:v>
      </x:c>
      <x:c r="B94" s="30" t="str"/>
      <x:c r="C94" s="29" t="str">
        <x:v>15100000</x:v>
      </x:c>
      <x:c r="D94" s="30" t="str">
        <x:v>IRIDIUM</x:v>
      </x:c>
      <x:c r="E94" s="30" t="str">
        <x:v>Magazine Reload</x:v>
      </x:c>
      <x:c r="F94" s="30" t="str">
        <x:v>magazineReloadTimeSec</x:v>
      </x:c>
      <x:c r="G94" s="30" t="n">
        <x:v>3.8</x:v>
      </x:c>
      <x:c r="H94" s="30" t="n">
        <x:v>3.7</x:v>
      </x:c>
      <x:c r="I94" s="30" t="n">
        <x:f>IF(AND(ISNUMBER(G94),ISNUMBER(H94)),H94-G94,"")</x:f>
        <x:v>-0.09999999999999964</x:v>
      </x:c>
      <x:c r="J94" s="157" t="n">
        <x:f>IF(AND(ISNUMBER(G94),ISNUMBER(H94),G94&lt;&gt;0),(H94-G94)/ABS(G94),"")</x:f>
        <x:v>-0.02631578947368412</x:v>
      </x:c>
    </x:row>
    <x:row r="95">
      <x:c r="A95" s="30" t="str">
        <x:v>Weapon</x:v>
      </x:c>
      <x:c r="B95" s="30" t="str"/>
      <x:c r="C95" s="29" t="str">
        <x:v>10040000</x:v>
      </x:c>
      <x:c r="D95" s="30" t="str">
        <x:v>LITTLE GEM</x:v>
      </x:c>
      <x:c r="E95" s="30" t="str">
        <x:v>Magazine Reload</x:v>
      </x:c>
      <x:c r="F95" s="30" t="str">
        <x:v>magazineReloadTimeSec</x:v>
      </x:c>
      <x:c r="G95" s="30" t="n">
        <x:v>4.4</x:v>
      </x:c>
      <x:c r="H95" s="30" t="n">
        <x:v>3.2</x:v>
      </x:c>
      <x:c r="I95" s="30" t="n">
        <x:f>IF(AND(ISNUMBER(G95),ISNUMBER(H95)),H95-G95,"")</x:f>
        <x:v>-1.2000000000000002</x:v>
      </x:c>
      <x:c r="J95" s="157" t="n">
        <x:f>IF(AND(ISNUMBER(G95),ISNUMBER(H95),G95&lt;&gt;0),(H95-G95)/ABS(G95),"")</x:f>
        <x:v>-0.27272727272727276</x:v>
      </x:c>
    </x:row>
    <x:row r="96">
      <x:c r="A96" s="30" t="str">
        <x:v>Weapon</x:v>
      </x:c>
      <x:c r="B96" s="30" t="str"/>
      <x:c r="C96" s="29" t="str">
        <x:v>15040000</x:v>
      </x:c>
      <x:c r="D96" s="30" t="str">
        <x:v>LITTLE GEM</x:v>
      </x:c>
      <x:c r="E96" s="30" t="str">
        <x:v>Magazine Reload</x:v>
      </x:c>
      <x:c r="F96" s="30" t="str">
        <x:v>magazineReloadTimeSec</x:v>
      </x:c>
      <x:c r="G96" s="30" t="n">
        <x:v>4.4</x:v>
      </x:c>
      <x:c r="H96" s="30" t="n">
        <x:v>3.2</x:v>
      </x:c>
      <x:c r="I96" s="30" t="n">
        <x:f>IF(AND(ISNUMBER(G96),ISNUMBER(H96)),H96-G96,"")</x:f>
        <x:v>-1.2000000000000002</x:v>
      </x:c>
      <x:c r="J96" s="157" t="n">
        <x:f>IF(AND(ISNUMBER(G96),ISNUMBER(H96),G96&lt;&gt;0),(H96-G96)/ABS(G96),"")</x:f>
        <x:v>-0.27272727272727276</x:v>
      </x:c>
    </x:row>
    <x:row r="97">
      <x:c r="A97" s="30" t="str">
        <x:v>Weapon</x:v>
      </x:c>
      <x:c r="B97" s="30" t="str"/>
      <x:c r="C97" s="29" t="str">
        <x:v>10070100</x:v>
      </x:c>
      <x:c r="D97" s="30" t="str">
        <x:v>MA-E-211 SAMPU</x:v>
      </x:c>
      <x:c r="E97" s="30" t="str">
        <x:v>Magazine Reload</x:v>
      </x:c>
      <x:c r="F97" s="30" t="str">
        <x:v>magazineReloadTimeSec</x:v>
      </x:c>
      <x:c r="G97" s="30" t="n">
        <x:v>1.9</x:v>
      </x:c>
      <x:c r="H97" s="30" t="n">
        <x:v>1.8</x:v>
      </x:c>
      <x:c r="I97" s="30" t="n">
        <x:f>IF(AND(ISNUMBER(G97),ISNUMBER(H97)),H97-G97,"")</x:f>
        <x:v>-0.09999999999999987</x:v>
      </x:c>
      <x:c r="J97" s="157" t="n">
        <x:f>IF(AND(ISNUMBER(G97),ISNUMBER(H97),G97&lt;&gt;0),(H97-G97)/ABS(G97),"")</x:f>
        <x:v>-0.052631578947368356</x:v>
      </x:c>
    </x:row>
    <x:row r="98">
      <x:c r="A98" s="30" t="str">
        <x:v>Weapon</x:v>
      </x:c>
      <x:c r="B98" s="30" t="str"/>
      <x:c r="C98" s="29" t="str">
        <x:v>15070100</x:v>
      </x:c>
      <x:c r="D98" s="30" t="str">
        <x:v>MA-E-211 SAMPU</x:v>
      </x:c>
      <x:c r="E98" s="30" t="str">
        <x:v>Magazine Reload</x:v>
      </x:c>
      <x:c r="F98" s="30" t="str">
        <x:v>magazineReloadTimeSec</x:v>
      </x:c>
      <x:c r="G98" s="30" t="n">
        <x:v>1.9</x:v>
      </x:c>
      <x:c r="H98" s="30" t="n">
        <x:v>1.8</x:v>
      </x:c>
      <x:c r="I98" s="30" t="n">
        <x:f>IF(AND(ISNUMBER(G98),ISNUMBER(H98)),H98-G98,"")</x:f>
        <x:v>-0.09999999999999987</x:v>
      </x:c>
      <x:c r="J98" s="157" t="n">
        <x:f>IF(AND(ISNUMBER(G98),ISNUMBER(H98),G98&lt;&gt;0),(H98-G98)/ABS(G98),"")</x:f>
        <x:v>-0.052631578947368356</x:v>
      </x:c>
    </x:row>
    <x:row r="99">
      <x:c r="A99" s="30" t="str">
        <x:v>Weapon</x:v>
      </x:c>
      <x:c r="B99" s="30" t="str"/>
      <x:c r="C99" s="29" t="str">
        <x:v>10080000</x:v>
      </x:c>
      <x:c r="D99" s="30" t="str">
        <x:v>MA-T-223 KYORIKU</x:v>
      </x:c>
      <x:c r="E99" s="30" t="str">
        <x:v>Total Ammo</x:v>
      </x:c>
      <x:c r="F99" s="30" t="str">
        <x:v>totalBulletNum</x:v>
      </x:c>
      <x:c r="G99" s="30" t="n">
        <x:v>40</x:v>
      </x:c>
      <x:c r="H99" s="30" t="n">
        <x:v>95</x:v>
      </x:c>
      <x:c r="I99" s="30" t="n">
        <x:f>IF(AND(ISNUMBER(G99),ISNUMBER(H99)),H99-G99,"")</x:f>
        <x:v>55</x:v>
      </x:c>
      <x:c r="J99" s="157" t="n">
        <x:f>IF(AND(ISNUMBER(G99),ISNUMBER(H99),G99&lt;&gt;0),(H99-G99)/ABS(G99),"")</x:f>
        <x:v>1.375</x:v>
      </x:c>
    </x:row>
    <x:row r="100">
      <x:c r="A100" s="30" t="str">
        <x:v>Weapon</x:v>
      </x:c>
      <x:c r="B100" s="30" t="str"/>
      <x:c r="C100" s="29" t="str">
        <x:v>15080000</x:v>
      </x:c>
      <x:c r="D100" s="30" t="str">
        <x:v>MA-T-223 KYORIKU</x:v>
      </x:c>
      <x:c r="E100" s="30" t="str">
        <x:v>Total Ammo</x:v>
      </x:c>
      <x:c r="F100" s="30" t="str">
        <x:v>totalBulletNum</x:v>
      </x:c>
      <x:c r="G100" s="30" t="n">
        <x:v>40</x:v>
      </x:c>
      <x:c r="H100" s="30" t="n">
        <x:v>95</x:v>
      </x:c>
      <x:c r="I100" s="30" t="n">
        <x:f>IF(AND(ISNUMBER(G100),ISNUMBER(H100)),H100-G100,"")</x:f>
        <x:v>55</x:v>
      </x:c>
      <x:c r="J100" s="157" t="n">
        <x:f>IF(AND(ISNUMBER(G100),ISNUMBER(H100),G100&lt;&gt;0),(H100-G100)/ABS(G100),"")</x:f>
        <x:v>1.375</x:v>
      </x:c>
    </x:row>
    <x:row r="101">
      <x:c r="A101" s="30" t="str">
        <x:v>Weapon</x:v>
      </x:c>
      <x:c r="B101" s="30" t="str"/>
      <x:c r="C101" s="29" t="str">
        <x:v>10080000</x:v>
      </x:c>
      <x:c r="D101" s="30" t="str">
        <x:v>MA-T-223 KYORIKU</x:v>
      </x:c>
      <x:c r="E101" s="30" t="str">
        <x:v>Weight</x:v>
      </x:c>
      <x:c r="F101" s="30" t="str">
        <x:v>weight</x:v>
      </x:c>
      <x:c r="G101" s="30" t="n">
        <x:v>2600</x:v>
      </x:c>
      <x:c r="H101" s="30" t="n">
        <x:v>2110</x:v>
      </x:c>
      <x:c r="I101" s="30" t="n">
        <x:f>IF(AND(ISNUMBER(G101),ISNUMBER(H101)),H101-G101,"")</x:f>
        <x:v>-490</x:v>
      </x:c>
      <x:c r="J101" s="157" t="n">
        <x:f>IF(AND(ISNUMBER(G101),ISNUMBER(H101),G101&lt;&gt;0),(H101-G101)/ABS(G101),"")</x:f>
        <x:v>-0.18846153846153846</x:v>
      </x:c>
    </x:row>
    <x:row r="102">
      <x:c r="A102" s="30" t="str">
        <x:v>Weapon</x:v>
      </x:c>
      <x:c r="B102" s="30" t="str"/>
      <x:c r="C102" s="29" t="str">
        <x:v>15080000</x:v>
      </x:c>
      <x:c r="D102" s="30" t="str">
        <x:v>MA-T-223 KYORIKU</x:v>
      </x:c>
      <x:c r="E102" s="30" t="str">
        <x:v>Weight</x:v>
      </x:c>
      <x:c r="F102" s="30" t="str">
        <x:v>weight</x:v>
      </x:c>
      <x:c r="G102" s="30" t="n">
        <x:v>2600</x:v>
      </x:c>
      <x:c r="H102" s="30" t="n">
        <x:v>2110</x:v>
      </x:c>
      <x:c r="I102" s="30" t="n">
        <x:f>IF(AND(ISNUMBER(G102),ISNUMBER(H102)),H102-G102,"")</x:f>
        <x:v>-490</x:v>
      </x:c>
      <x:c r="J102" s="157" t="n">
        <x:f>IF(AND(ISNUMBER(G102),ISNUMBER(H102),G102&lt;&gt;0),(H102-G102)/ABS(G102),"")</x:f>
        <x:v>-0.18846153846153846</x:v>
      </x:c>
    </x:row>
    <x:row r="103">
      <x:c r="A103" s="30" t="str">
        <x:v>Weapon</x:v>
      </x:c>
      <x:c r="B103" s="30" t="str"/>
      <x:c r="C103" s="29" t="str">
        <x:v>30270000</x:v>
      </x:c>
      <x:c r="D103" s="30" t="str">
        <x:v>VE-60SNA</x:v>
      </x:c>
      <x:c r="E103" s="30" t="str">
        <x:v>Magazine Reload</x:v>
      </x:c>
      <x:c r="F103" s="30" t="str">
        <x:v>magazineReloadTimeSec</x:v>
      </x:c>
      <x:c r="G103" s="30" t="n">
        <x:v>5</x:v>
      </x:c>
      <x:c r="H103" s="30" t="n">
        <x:v>6.5</x:v>
      </x:c>
      <x:c r="I103" s="30" t="n">
        <x:f>IF(AND(ISNUMBER(G103),ISNUMBER(H103)),H103-G103,"")</x:f>
        <x:v>1.5</x:v>
      </x:c>
      <x:c r="J103" s="157" t="n">
        <x:f>IF(AND(ISNUMBER(G103),ISNUMBER(H103),G103&lt;&gt;0),(H103-G103)/ABS(G103),"")</x:f>
        <x:v>0.3</x:v>
      </x:c>
    </x:row>
    <x:row r="104">
      <x:c r="A104" s="32" t="str">
        <x:v>Weapon</x:v>
      </x:c>
      <x:c r="B104" s="32" t="str"/>
      <x:c r="C104" s="31" t="str">
        <x:v>35270000</x:v>
      </x:c>
      <x:c r="D104" s="32" t="str">
        <x:v>VE-60SNA</x:v>
      </x:c>
      <x:c r="E104" s="32" t="str">
        <x:v>Magazine Reload</x:v>
      </x:c>
      <x:c r="F104" s="32" t="str">
        <x:v>magazineReloadTimeSec</x:v>
      </x:c>
      <x:c r="G104" s="32" t="n">
        <x:v>5</x:v>
      </x:c>
      <x:c r="H104" s="32" t="n">
        <x:v>6.5</x:v>
      </x:c>
      <x:c r="I104" s="32" t="n">
        <x:f>IF(AND(ISNUMBER(G104),ISNUMBER(H104)),H104-G104,"")</x:f>
        <x:v>1.5</x:v>
      </x:c>
      <x:c r="J104" s="158" t="n">
        <x:f>IF(AND(ISNUMBER(G104),ISNUMBER(H104),G104&lt;&gt;0),(H104-G104)/ABS(G104),"")</x:f>
        <x:v>0.3</x:v>
      </x:c>
    </x:row>
  </x:sheetData>
  <x:mergeCells>
    <x:mergeCell ref="A1:J1"/>
    <x:mergeCell ref="A2:J2"/>
  </x:mergeCells>
  <x:conditionalFormatting sqref="I5:I104">
    <x:cfRule type="colorScale" priority="1">
      <x:colorScale>
        <x:cfvo type="min"/>
        <x:cfvo type="percentile" val="50"/>
        <x:cfvo type="max"/>
        <x:color rgb="FFFECACA"/>
        <x:color rgb="FFFFFFFF"/>
        <x:color rgb="FFBBF7D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308c266469b496b"/>
  </x:tableParts>
</x:worksheet>
</file>